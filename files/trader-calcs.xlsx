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README" sheetId="1" state="visible" r:id="rId1"/>
    <sheet xmlns:r="http://schemas.openxmlformats.org/officeDocument/2006/relationships" name="Duration_DV01_Hedge" sheetId="2" state="visible" r:id="rId2"/>
    <sheet xmlns:r="http://schemas.openxmlformats.org/officeDocument/2006/relationships" name="Convexity_Bump" sheetId="3" state="visible" r:id="rId3"/>
    <sheet xmlns:r="http://schemas.openxmlformats.org/officeDocument/2006/relationships" name="Prepay_Conversions" sheetId="4" state="visible" r:id="rId4"/>
    <sheet xmlns:r="http://schemas.openxmlformats.org/officeDocument/2006/relationships" name="CashFlow_Model" sheetId="5" state="visible" r:id="rId5"/>
    <sheet xmlns:r="http://schemas.openxmlformats.org/officeDocument/2006/relationships" name="Spreads" sheetId="6" state="visible" r:id="rId6"/>
    <sheet xmlns:r="http://schemas.openxmlformats.org/officeDocument/2006/relationships" name="DSCR_LTV" sheetId="7" state="visible" r:id="rId7"/>
  </sheets>
  <definedNames>
    <definedName name="Face">'Duration_DV01_Hedge'!$B$6</definedName>
    <definedName name="Price">'Duration_DV01_Hedge'!$B$7</definedName>
    <definedName name="AccruedPts">'Duration_DV01_Hedge'!$B$8</definedName>
    <definedName name="EffDur">'Duration_DV01_Hedge'!$B$9</definedName>
    <definedName name="Convexity">'Duration_DV01_Hedge'!$B$10</definedName>
    <definedName name="TY_DV01">'Duration_DV01_Hedge'!$B$11</definedName>
    <definedName name="FV_DV01">'Duration_DV01_Hedge'!$B$12</definedName>
    <definedName name="Swap10_DV01_per_mm">'Duration_DV01_Hedge'!$B$13</definedName>
    <definedName name="CTD_DV01">'Duration_DV01_Hedge'!$B$14</definedName>
    <definedName name="CTD_CF">'Duration_DV01_Hedge'!$B$15</definedName>
    <definedName name="Split10">'Duration_DV01_Hedge'!$B$16</definedName>
    <definedName name="Sigma_bp">'Duration_DV01_Hedge'!$B$17</definedName>
    <definedName name="MV">'Duration_DV01_Hedge'!$B$20</definedName>
    <definedName name="Position_DV01">'Duration_DV01_Hedge'!$B$21</definedName>
    <definedName name="TY_Contracts">'Duration_DV01_Hedge'!$B$23</definedName>
    <definedName name="FV_Contracts">'Duration_DV01_Hedge'!$B$24</definedName>
    <definedName name="Settle">'Duration_DV01_Hedge'!$B$31</definedName>
    <definedName name="Maturity">'Duration_DV01_Hedge'!$B$32</definedName>
    <definedName name="Cpn">'Duration_DV01_Hedge'!$B$33</definedName>
    <definedName name="Yld">'Duration_DV01_Hedge'!$B$34</definedName>
    <definedName name="DeltaY">'Duration_DV01_Hedge'!$B$35</definedName>
    <definedName name="T_Price">'Duration_DV01_Hedge'!$B$36</definedName>
    <definedName name="MacDur">'Duration_DV01_Hedge'!$B$37</definedName>
    <definedName name="ModDur">'Duration_DV01_Hedge'!$B$38</definedName>
    <definedName name="T_Dur">'Duration_DV01_Hedge'!$B$45</definedName>
    <definedName name="T_Conv">'Duration_DV01_Hedge'!$B$46</definedName>
    <definedName name="Bump">'Convexity_Bump'!$B$6</definedName>
    <definedName name="T_P0">'Convexity_Bump'!$B$7</definedName>
    <definedName name="T_P_dn">'Convexity_Bump'!$B$8</definedName>
    <definedName name="T_P_up">'Convexity_Bump'!$B$9</definedName>
    <definedName name="P_0">'Convexity_Bump'!$B$15</definedName>
    <definedName name="P_dn">'Convexity_Bump'!$B$16</definedName>
    <definedName name="P_up">'Convexity_Bump'!$B$17</definedName>
    <definedName name="Mtg_EffDur">'Convexity_Bump'!$B$18</definedName>
    <definedName name="Mtg_Conv">'Convexity_Bump'!$B$19</definedName>
    <definedName name="PP_CPR">'Prepay_Conversions'!$B$6</definedName>
    <definedName name="PP_SMM">'Prepay_Conversions'!$B$7</definedName>
    <definedName name="PP_PSA">'Prepay_Conversions'!$B$8</definedName>
    <definedName name="PP_Age">'Prepay_Conversions'!$B$9</definedName>
    <definedName name="PP_CDR">'Prepay_Conversions'!$B$10</definedName>
    <definedName name="PenaltySched">'Prepay_Conversions'!$B$20:$F$20</definedName>
    <definedName name="PrepayAmt">'Prepay_Conversions'!$B$21</definedName>
    <definedName name="AgeMo">'Prepay_Conversions'!$B$22</definedName>
    <definedName name="OrigBal">'CashFlow_Model'!$B$6</definedName>
    <definedName name="WAC">'CashFlow_Model'!$B$7</definedName>
    <definedName name="ServFee">'CashFlow_Model'!$B$8</definedName>
    <definedName name="Term">'CashFlow_Model'!$B$9</definedName>
    <definedName name="CF_CPR">'CashFlow_Model'!$B$10</definedName>
    <definedName name="CF_CDR">'CashFlow_Model'!$B$11</definedName>
    <definedName name="Severity">'CashFlow_Model'!$B$12</definedName>
    <definedName name="CF_Yield">'CashFlow_Model'!$B$13</definedName>
    <definedName name="CF_Price">'CashFlow_Model'!$B$14</definedName>
    <definedName name="PriceFromYield">'CashFlow_Model'!$G$6</definedName>
    <definedName name="YieldFromPrice">'CashFlow_Model'!$G$8</definedName>
    <definedName name="WAL_CF">'CashFlow_Model'!$G$10</definedName>
    <definedName name="MtgRate">'Spreads'!$B$6</definedName>
    <definedName name="UST_10Y">'Spreads'!$B$7</definedName>
    <definedName name="CC_Yld">'Spreads'!$B$8</definedName>
    <definedName name="MtgYld">'Spreads'!$B$14</definedName>
    <definedName name="BEY">'Spreads'!$B$15</definedName>
    <definedName name="BondYld">'Spreads'!$B$20</definedName>
    <definedName name="WAL">'Spreads'!$B$21</definedName>
    <definedName name="T_lo">'Spreads'!$B$22</definedName>
    <definedName name="T_hi">'Spreads'!$B$23</definedName>
    <definedName name="Yld_lo">'Spreads'!$B$24</definedName>
    <definedName name="Yld_hi">'Spreads'!$B$25</definedName>
    <definedName name="SwapSpread_bp">'Spreads'!$B$26</definedName>
    <definedName name="UST_at_WAL">'Spreads'!$B$27</definedName>
    <definedName name="GSpread_bp">'Spreads'!$B$28</definedName>
    <definedName name="ZSpread_bp">'Spreads'!$B$32</definedName>
    <definedName name="OAS_bp">'Spreads'!$B$33</definedName>
    <definedName name="Quote32">'Spreads'!$B$37</definedName>
    <definedName name="DecPx">'Spreads'!$B$38</definedName>
    <definedName name="TickFace">'Spreads'!$B$41</definedName>
    <definedName name="Roll_Cpn">'Spreads'!$B$45</definedName>
    <definedName name="Roll_Repo">'Spreads'!$B$46</definedName>
    <definedName name="Roll_Days">'Spreads'!$B$47</definedName>
    <definedName name="Roll_Px">'Spreads'!$B$48</definedName>
    <definedName name="Roll_PctPaid">'Spreads'!$B$49</definedName>
    <definedName name="Roll_Drop32">'Spreads'!$B$50</definedName>
    <definedName name="Roll_Carry">'Spreads'!$B$51</definedName>
    <definedName name="Loan">'DSCR_LTV'!$B$6</definedName>
    <definedName name="NoteRate">'DSCR_LTV'!$B$7</definedName>
    <definedName name="AmortTerm">'DSCR_LTV'!$B$8</definedName>
    <definedName name="IO_Flag">'DSCR_LTV'!$B$9</definedName>
    <definedName name="GrossRent">'DSCR_LTV'!$B$10</definedName>
    <definedName name="Taxes">'DSCR_LTV'!$B$11</definedName>
    <definedName name="Ins">'DSCR_LTV'!$B$12</definedName>
    <definedName name="HOA">'DSCR_LTV'!$B$13</definedName>
    <definedName name="PI_Pmt">'DSCR_LTV'!$B$14</definedName>
    <definedName name="PITIA">'DSCR_LTV'!$B$15</definedName>
    <definedName name="Appraisal">'DSCR_LTV'!$B$22</definedName>
    <definedName name="PurchPx">'DSCR_LTV'!$B$23</definedName>
    <definedName name="SecondLien">'DSCR_LTV'!$B$24</definedName>
    <definedName name="CurBal">'DSCR_LTV'!$B$25</definedName>
    <definedName name="HPA">'DSCR_LTV'!$B$26</definedName>
    <definedName name="MonthlyDebt">'DSCR_LTV'!$B$32</definedName>
    <definedName name="GrossMoIncome">'DSCR_LTV'!$B$33</definedName>
    <definedName name="RTL_Loan">'DSCR_LTV'!$B$37</definedName>
    <definedName name="RTL_Purch">'DSCR_LTV'!$B$38</definedName>
    <definedName name="RehabBudget">'DSCR_LTV'!$B$39</definedName>
    <definedName name="ARV">'DSCR_LTV'!$B$40</definedName>
    <definedName name="Cr_CDR">'DSCR_LTV'!$B$45</definedName>
    <definedName name="Cr_Sev">'DSCR_LTV'!$B$46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"/>
    <numFmt numFmtId="165" formatCode="0.0000"/>
    <numFmt numFmtId="166" formatCode="$#,##0.00"/>
    <numFmt numFmtId="167" formatCode="yyyy-mm-dd"/>
    <numFmt numFmtId="168" formatCode="0.0000%"/>
    <numFmt numFmtId="169" formatCode="0.000000"/>
    <numFmt numFmtId="170" formatCode="0.0"/>
  </numFmts>
  <fonts count="8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666666"/>
      <sz val="9"/>
    </font>
    <font>
      <b val="1"/>
      <color rgb="00C00000"/>
      <sz val="9"/>
    </font>
    <font>
      <b val="1"/>
      <color rgb="00FFFFFF"/>
    </font>
    <font>
      <color rgb="000000FF"/>
    </font>
    <font>
      <b val="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7D6"/>
      </patternFill>
    </fill>
    <fill>
      <patternFill patternType="solid">
        <fgColor rgb="00E8F0E0"/>
      </patternFill>
    </fill>
  </fills>
  <borders count="2">
    <border>
      <left/>
      <right/>
      <top/>
      <bottom/>
      <diagonal/>
    </border>
    <border>
      <left style="thin">
        <color rgb="00A6B4C8"/>
      </left>
      <right style="thin">
        <color rgb="00A6B4C8"/>
      </right>
      <top style="thin">
        <color rgb="00A6B4C8"/>
      </top>
      <bottom style="thin">
        <color rgb="00A6B4C8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5" fillId="3" borderId="1" pivotButton="0" quotePrefix="0" xfId="0"/>
    <xf numFmtId="165" fontId="5" fillId="3" borderId="1" pivotButton="0" quotePrefix="0" xfId="0"/>
    <xf numFmtId="2" fontId="5" fillId="3" borderId="1" pivotButton="0" quotePrefix="0" xfId="0"/>
    <xf numFmtId="166" fontId="5" fillId="3" borderId="1" pivotButton="0" quotePrefix="0" xfId="0"/>
    <xf numFmtId="10" fontId="5" fillId="3" borderId="1" pivotButton="0" quotePrefix="0" xfId="0"/>
    <xf numFmtId="164" fontId="6" fillId="4" borderId="1" pivotButton="0" quotePrefix="0" xfId="0"/>
    <xf numFmtId="2" fontId="6" fillId="4" borderId="1" pivotButton="0" quotePrefix="0" xfId="0"/>
    <xf numFmtId="1" fontId="6" fillId="4" borderId="1" pivotButton="0" quotePrefix="0" xfId="0"/>
    <xf numFmtId="166" fontId="6" fillId="4" borderId="1" pivotButton="0" quotePrefix="0" xfId="0"/>
    <xf numFmtId="167" fontId="5" fillId="3" borderId="1" pivotButton="0" quotePrefix="0" xfId="0"/>
    <xf numFmtId="168" fontId="5" fillId="3" borderId="1" pivotButton="0" quotePrefix="0" xfId="0"/>
    <xf numFmtId="169" fontId="5" fillId="3" borderId="1" pivotButton="0" quotePrefix="0" xfId="0"/>
    <xf numFmtId="165" fontId="6" fillId="4" borderId="1" pivotButton="0" quotePrefix="0" xfId="0"/>
    <xf numFmtId="169" fontId="6" fillId="4" borderId="1" pivotButton="0" quotePrefix="0" xfId="0"/>
    <xf numFmtId="168" fontId="6" fillId="4" borderId="1" pivotButton="0" quotePrefix="0" xfId="0"/>
    <xf numFmtId="165" fontId="5" fillId="3" borderId="0" pivotButton="0" quotePrefix="0" xfId="0"/>
    <xf numFmtId="1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6" fillId="4" borderId="1" pivotButton="0" quotePrefix="0" xfId="0"/>
    <xf numFmtId="1" fontId="5" fillId="3" borderId="1" pivotButton="0" quotePrefix="0" xfId="0"/>
    <xf numFmtId="9" fontId="5" fillId="3" borderId="0" pivotButton="0" quotePrefix="0" xfId="0"/>
    <xf numFmtId="168" fontId="0" fillId="0" borderId="0" pivotButton="0" quotePrefix="0" xfId="0"/>
    <xf numFmtId="0" fontId="6" fillId="4" borderId="1" pivotButton="0" quotePrefix="0" xfId="0"/>
    <xf numFmtId="0" fontId="4" fillId="2" borderId="0" applyAlignment="1" pivotButton="0" quotePrefix="0" xfId="0">
      <alignment wrapText="1"/>
    </xf>
    <xf numFmtId="169" fontId="0" fillId="0" borderId="0" pivotButton="0" quotePrefix="0" xfId="0"/>
    <xf numFmtId="17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70" customWidth="1" min="4" max="4"/>
  </cols>
  <sheetData>
    <row r="1">
      <c r="A1" s="1" t="inlineStr">
        <is>
          <t>Residential Mortgage / RMBS Trader Calculator Workbook</t>
        </is>
      </c>
    </row>
    <row r="2">
      <c r="A2" t="inlineStr">
        <is>
          <t>Prepared Oct 1, 2026 - companion to trader-concepts-cheatsheet (Markdown/DOCX/PDF). No internal firm data.</t>
        </is>
      </c>
    </row>
    <row r="3">
      <c r="A3" s="2" t="inlineStr">
        <is>
          <t>ALL INPUTS ARE ILLUSTRATIVE - Example numbers, not market data. Replace with your own and note source and date.</t>
        </is>
      </c>
    </row>
    <row r="5">
      <c r="A5" s="3" t="inlineStr">
        <is>
          <t>Color code</t>
        </is>
      </c>
    </row>
    <row r="6">
      <c r="A6" t="inlineStr">
        <is>
          <t>Input (type here)</t>
        </is>
      </c>
      <c r="B6" s="4" t="n">
        <v>123</v>
      </c>
    </row>
    <row r="7">
      <c r="A7" t="inlineStr">
        <is>
          <t>Key output (formula)</t>
        </is>
      </c>
      <c r="B7" s="5">
        <f>B6*2</f>
        <v/>
      </c>
    </row>
    <row r="8">
      <c r="A8" t="inlineStr">
        <is>
          <t>Units: rates and yields are decimals (5% = 0.05); bp inputs are labeled and converted with /10000.</t>
        </is>
      </c>
    </row>
    <row r="10">
      <c r="A10" s="3" t="inlineStr">
        <is>
          <t>Tabs</t>
        </is>
      </c>
    </row>
    <row r="11">
      <c r="A11" s="3" t="inlineStr">
        <is>
          <t>Duration_DV01_Hedge</t>
        </is>
      </c>
      <c r="B11" t="inlineStr">
        <is>
          <t>Position DV01, futures/swap hedge ratios, CTD futures DV01, VaR, Treasury PRICE/DURATION/MDURATION/YIELD, +/-100bp scenario grid</t>
        </is>
      </c>
    </row>
    <row r="12">
      <c r="A12" s="3" t="inlineStr">
        <is>
          <t>Convexity_Bump</t>
        </is>
      </c>
      <c r="B12" t="inlineStr">
        <is>
          <t>Effective duration and convexity by +/-25bp bumps: live Treasury re-pricing and mortgage model prices</t>
        </is>
      </c>
    </row>
    <row r="13">
      <c r="A13" s="3" t="inlineStr">
        <is>
          <t>Prepay_Conversions</t>
        </is>
      </c>
      <c r="B13" t="inlineStr">
        <is>
          <t>SMM &lt;-&gt; CPR, PSA ramp, CDR -&gt; MDR, 5-4-3-2-1 prepayment penalty</t>
        </is>
      </c>
    </row>
    <row r="14">
      <c r="A14" s="3" t="inlineStr">
        <is>
          <t>CashFlow_Model</t>
        </is>
      </c>
      <c r="B14" t="inlineStr">
        <is>
          <t>360-month amortization with CPR/CDR/severity; price from yield (SUMPRODUCT/NPV), yield from price (IRR), WAL, losses, checks</t>
        </is>
      </c>
    </row>
    <row r="15">
      <c r="A15" s="3" t="inlineStr">
        <is>
          <t>Spreads</t>
        </is>
      </c>
      <c r="B15" t="inlineStr">
        <is>
          <t>Mortgage-to-10Y decomposition, BEY conversion, G/I-spread with interpolation, option cost, 32nds, roll carry</t>
        </is>
      </c>
    </row>
    <row r="16">
      <c r="A16" s="3" t="inlineStr">
        <is>
          <t>DSCR_LTV</t>
        </is>
      </c>
      <c r="B16" t="inlineStr">
        <is>
          <t>DSCR (amortizing or IO), PMT/IPMT/PPMT/RATE, LTV/CLTV, HPA shock, DTI, RTL LTC/LTARV, loss rate</t>
        </is>
      </c>
    </row>
    <row r="18">
      <c r="A18" s="6" t="inlineStr">
        <is>
          <t>Scenario tables: use Data &gt; What-If Analysis &gt; Data Table on the CashFlow_Model tab (row input CF_Yield, column input CF_CPR, corner cell =PriceFromYield). Not pre-built because Data Tables are created inside Excel.</t>
        </is>
      </c>
    </row>
    <row r="19">
      <c r="A19" s="6" t="inlineStr">
        <is>
          <t>Goal Seek: set PriceFromYield to a target price by changing CF_Yield to solve yield from price (or use YieldFromPrice).</t>
        </is>
      </c>
    </row>
    <row r="21">
      <c r="A21" s="3" t="inlineStr">
        <is>
          <t>Named ranges</t>
        </is>
      </c>
    </row>
    <row r="22">
      <c r="A22" s="7" t="inlineStr">
        <is>
          <t>Name</t>
        </is>
      </c>
      <c r="B22" s="7" t="inlineStr">
        <is>
          <t>Tab</t>
        </is>
      </c>
      <c r="C22" s="7" t="inlineStr">
        <is>
          <t>Cell</t>
        </is>
      </c>
      <c r="D22" s="7" t="inlineStr">
        <is>
          <t>Description</t>
        </is>
      </c>
    </row>
    <row r="23">
      <c r="A23" t="inlineStr">
        <is>
          <t>CF_CDR</t>
        </is>
      </c>
      <c r="B23" t="inlineStr">
        <is>
          <t>CashFlow_Model</t>
        </is>
      </c>
      <c r="C23" t="inlineStr">
        <is>
          <t>B11</t>
        </is>
      </c>
      <c r="D23" t="inlineStr">
        <is>
          <t>CDR (annual, decimal)</t>
        </is>
      </c>
    </row>
    <row r="24">
      <c r="A24" t="inlineStr">
        <is>
          <t>CF_CPR</t>
        </is>
      </c>
      <c r="B24" t="inlineStr">
        <is>
          <t>CashFlow_Model</t>
        </is>
      </c>
      <c r="C24" t="inlineStr">
        <is>
          <t>B10</t>
        </is>
      </c>
      <c r="D24" t="inlineStr">
        <is>
          <t>CPR (annual, decimal)</t>
        </is>
      </c>
    </row>
    <row r="25">
      <c r="A25" t="inlineStr">
        <is>
          <t>CF_Price</t>
        </is>
      </c>
      <c r="B25" t="inlineStr">
        <is>
          <t>CashFlow_Model</t>
        </is>
      </c>
      <c r="C25" t="inlineStr">
        <is>
          <t>B14</t>
        </is>
      </c>
      <c r="D25" t="inlineStr">
        <is>
          <t>Price for yield calc (points)</t>
        </is>
      </c>
    </row>
    <row r="26">
      <c r="A26" t="inlineStr">
        <is>
          <t>CF_Yield</t>
        </is>
      </c>
      <c r="B26" t="inlineStr">
        <is>
          <t>CashFlow_Model</t>
        </is>
      </c>
      <c r="C26" t="inlineStr">
        <is>
          <t>B13</t>
        </is>
      </c>
      <c r="D26" t="inlineStr">
        <is>
          <t>Yield for pricing (monthly-compounded, decimal)</t>
        </is>
      </c>
    </row>
    <row r="27">
      <c r="A27" t="inlineStr">
        <is>
          <t>OrigBal</t>
        </is>
      </c>
      <c r="B27" t="inlineStr">
        <is>
          <t>CashFlow_Model</t>
        </is>
      </c>
      <c r="C27" t="inlineStr">
        <is>
          <t>B6</t>
        </is>
      </c>
      <c r="D27" t="inlineStr">
        <is>
          <t>Original balance ($)</t>
        </is>
      </c>
    </row>
    <row r="28">
      <c r="A28" t="inlineStr">
        <is>
          <t>PriceFromYield</t>
        </is>
      </c>
      <c r="B28" t="inlineStr">
        <is>
          <t>CashFlow_Model</t>
        </is>
      </c>
      <c r="C28" t="inlineStr">
        <is>
          <t>G6</t>
        </is>
      </c>
      <c r="D28" t="inlineStr">
        <is>
          <t>Price from yield (SUMPRODUCT)</t>
        </is>
      </c>
    </row>
    <row r="29">
      <c r="A29" t="inlineStr">
        <is>
          <t>ServFee</t>
        </is>
      </c>
      <c r="B29" t="inlineStr">
        <is>
          <t>CashFlow_Model</t>
        </is>
      </c>
      <c r="C29" t="inlineStr">
        <is>
          <t>B8</t>
        </is>
      </c>
      <c r="D29" t="inlineStr">
        <is>
          <t>Servicing fee (decimal)</t>
        </is>
      </c>
    </row>
    <row r="30">
      <c r="A30" t="inlineStr">
        <is>
          <t>Severity</t>
        </is>
      </c>
      <c r="B30" t="inlineStr">
        <is>
          <t>CashFlow_Model</t>
        </is>
      </c>
      <c r="C30" t="inlineStr">
        <is>
          <t>B12</t>
        </is>
      </c>
      <c r="D30" t="inlineStr">
        <is>
          <t>Loss severity (decimal)</t>
        </is>
      </c>
    </row>
    <row r="31">
      <c r="A31" t="inlineStr">
        <is>
          <t>Term</t>
        </is>
      </c>
      <c r="B31" t="inlineStr">
        <is>
          <t>CashFlow_Model</t>
        </is>
      </c>
      <c r="C31" t="inlineStr">
        <is>
          <t>B9</t>
        </is>
      </c>
      <c r="D31" t="inlineStr">
        <is>
          <t>Original term (months)</t>
        </is>
      </c>
    </row>
    <row r="32">
      <c r="A32" t="inlineStr">
        <is>
          <t>WAC</t>
        </is>
      </c>
      <c r="B32" t="inlineStr">
        <is>
          <t>CashFlow_Model</t>
        </is>
      </c>
      <c r="C32" t="inlineStr">
        <is>
          <t>B7</t>
        </is>
      </c>
      <c r="D32" t="inlineStr">
        <is>
          <t>Gross WAC (note rate, decimal)</t>
        </is>
      </c>
    </row>
    <row r="33">
      <c r="A33" t="inlineStr">
        <is>
          <t>WAL_CF</t>
        </is>
      </c>
      <c r="B33" t="inlineStr">
        <is>
          <t>CashFlow_Model</t>
        </is>
      </c>
      <c r="C33" t="inlineStr">
        <is>
          <t>G10</t>
        </is>
      </c>
      <c r="D33" t="inlineStr">
        <is>
          <t>WAL (years)</t>
        </is>
      </c>
    </row>
    <row r="34">
      <c r="A34" t="inlineStr">
        <is>
          <t>YieldFromPrice</t>
        </is>
      </c>
      <c r="B34" t="inlineStr">
        <is>
          <t>CashFlow_Model</t>
        </is>
      </c>
      <c r="C34" t="inlineStr">
        <is>
          <t>G8</t>
        </is>
      </c>
      <c r="D34" t="inlineStr">
        <is>
          <t>Yield from price (IRR x 12, mortgage yield)</t>
        </is>
      </c>
    </row>
    <row r="35">
      <c r="A35" t="inlineStr">
        <is>
          <t>Bump</t>
        </is>
      </c>
      <c r="B35" t="inlineStr">
        <is>
          <t>Convexity_Bump</t>
        </is>
      </c>
      <c r="C35" t="inlineStr">
        <is>
          <t>B6</t>
        </is>
      </c>
      <c r="D35" t="inlineStr">
        <is>
          <t>Bump (decimal; 0.0025 = 25bp)</t>
        </is>
      </c>
    </row>
    <row r="36">
      <c r="A36" t="inlineStr">
        <is>
          <t>Mtg_Conv</t>
        </is>
      </c>
      <c r="B36" t="inlineStr">
        <is>
          <t>Convexity_Bump</t>
        </is>
      </c>
      <c r="C36" t="inlineStr">
        <is>
          <t>B19</t>
        </is>
      </c>
      <c r="D36" t="inlineStr">
        <is>
          <t>Effective convexity (negative)</t>
        </is>
      </c>
    </row>
    <row r="37">
      <c r="A37" t="inlineStr">
        <is>
          <t>Mtg_EffDur</t>
        </is>
      </c>
      <c r="B37" t="inlineStr">
        <is>
          <t>Convexity_Bump</t>
        </is>
      </c>
      <c r="C37" t="inlineStr">
        <is>
          <t>B18</t>
        </is>
      </c>
      <c r="D37" t="inlineStr">
        <is>
          <t>Effective duration</t>
        </is>
      </c>
    </row>
    <row r="38">
      <c r="A38" t="inlineStr">
        <is>
          <t>P_0</t>
        </is>
      </c>
      <c r="B38" t="inlineStr">
        <is>
          <t>Convexity_Bump</t>
        </is>
      </c>
      <c r="C38" t="inlineStr">
        <is>
          <t>B15</t>
        </is>
      </c>
      <c r="D38" t="inlineStr">
        <is>
          <t>Base price P_0</t>
        </is>
      </c>
    </row>
    <row r="39">
      <c r="A39" t="inlineStr">
        <is>
          <t>P_dn</t>
        </is>
      </c>
      <c r="B39" t="inlineStr">
        <is>
          <t>Convexity_Bump</t>
        </is>
      </c>
      <c r="C39" t="inlineStr">
        <is>
          <t>B16</t>
        </is>
      </c>
      <c r="D39" t="inlineStr">
        <is>
          <t>Price with yields down Bump (faster prepays), P_dn</t>
        </is>
      </c>
    </row>
    <row r="40">
      <c r="A40" t="inlineStr">
        <is>
          <t>P_up</t>
        </is>
      </c>
      <c r="B40" t="inlineStr">
        <is>
          <t>Convexity_Bump</t>
        </is>
      </c>
      <c r="C40" t="inlineStr">
        <is>
          <t>B17</t>
        </is>
      </c>
      <c r="D40" t="inlineStr">
        <is>
          <t>Price with yields up Bump (slower prepays), P_up</t>
        </is>
      </c>
    </row>
    <row r="41">
      <c r="A41" t="inlineStr">
        <is>
          <t>T_P0</t>
        </is>
      </c>
      <c r="B41" t="inlineStr">
        <is>
          <t>Convexity_Bump</t>
        </is>
      </c>
      <c r="C41" t="inlineStr">
        <is>
          <t>B7</t>
        </is>
      </c>
      <c r="D41" t="inlineStr">
        <is>
          <t>Base price  =PRICE(...,Yld,...)</t>
        </is>
      </c>
    </row>
    <row r="42">
      <c r="A42" t="inlineStr">
        <is>
          <t>T_P_dn</t>
        </is>
      </c>
      <c r="B42" t="inlineStr">
        <is>
          <t>Convexity_Bump</t>
        </is>
      </c>
      <c r="C42" t="inlineStr">
        <is>
          <t>B8</t>
        </is>
      </c>
      <c r="D42" t="inlineStr">
        <is>
          <t>Price, yield down  =PRICE(...,Yld-Bump,...)</t>
        </is>
      </c>
    </row>
    <row r="43">
      <c r="A43" t="inlineStr">
        <is>
          <t>T_P_up</t>
        </is>
      </c>
      <c r="B43" t="inlineStr">
        <is>
          <t>Convexity_Bump</t>
        </is>
      </c>
      <c r="C43" t="inlineStr">
        <is>
          <t>B9</t>
        </is>
      </c>
      <c r="D43" t="inlineStr">
        <is>
          <t>Price, yield up  =PRICE(...,Yld+Bump,...)</t>
        </is>
      </c>
    </row>
    <row r="44">
      <c r="A44" t="inlineStr">
        <is>
          <t>ARV</t>
        </is>
      </c>
      <c r="B44" t="inlineStr">
        <is>
          <t>DSCR_LTV</t>
        </is>
      </c>
      <c r="C44" t="inlineStr">
        <is>
          <t>B40</t>
        </is>
      </c>
      <c r="D44" t="inlineStr">
        <is>
          <t>After-repair value, ARV ($)</t>
        </is>
      </c>
    </row>
    <row r="45">
      <c r="A45" t="inlineStr">
        <is>
          <t>AmortTerm</t>
        </is>
      </c>
      <c r="B45" t="inlineStr">
        <is>
          <t>DSCR_LTV</t>
        </is>
      </c>
      <c r="C45" t="inlineStr">
        <is>
          <t>B8</t>
        </is>
      </c>
      <c r="D45" t="inlineStr">
        <is>
          <t>Amortization term (months)</t>
        </is>
      </c>
    </row>
    <row r="46">
      <c r="A46" t="inlineStr">
        <is>
          <t>Appraisal</t>
        </is>
      </c>
      <c r="B46" t="inlineStr">
        <is>
          <t>DSCR_LTV</t>
        </is>
      </c>
      <c r="C46" t="inlineStr">
        <is>
          <t>B22</t>
        </is>
      </c>
      <c r="D46" t="inlineStr">
        <is>
          <t>Appraised value ($)</t>
        </is>
      </c>
    </row>
    <row r="47">
      <c r="A47" t="inlineStr">
        <is>
          <t>Cr_CDR</t>
        </is>
      </c>
      <c r="B47" t="inlineStr">
        <is>
          <t>DSCR_LTV</t>
        </is>
      </c>
      <c r="C47" t="inlineStr">
        <is>
          <t>B45</t>
        </is>
      </c>
      <c r="D47" t="inlineStr">
        <is>
          <t>CDR (annual, decimal)</t>
        </is>
      </c>
    </row>
    <row r="48">
      <c r="A48" t="inlineStr">
        <is>
          <t>Cr_Sev</t>
        </is>
      </c>
      <c r="B48" t="inlineStr">
        <is>
          <t>DSCR_LTV</t>
        </is>
      </c>
      <c r="C48" t="inlineStr">
        <is>
          <t>B46</t>
        </is>
      </c>
      <c r="D48" t="inlineStr">
        <is>
          <t>Severity (decimal)</t>
        </is>
      </c>
    </row>
    <row r="49">
      <c r="A49" t="inlineStr">
        <is>
          <t>CurBal</t>
        </is>
      </c>
      <c r="B49" t="inlineStr">
        <is>
          <t>DSCR_LTV</t>
        </is>
      </c>
      <c r="C49" t="inlineStr">
        <is>
          <t>B25</t>
        </is>
      </c>
      <c r="D49" t="inlineStr">
        <is>
          <t>Current first-lien balance ($)</t>
        </is>
      </c>
    </row>
    <row r="50">
      <c r="A50" t="inlineStr">
        <is>
          <t>GrossMoIncome</t>
        </is>
      </c>
      <c r="B50" t="inlineStr">
        <is>
          <t>DSCR_LTV</t>
        </is>
      </c>
      <c r="C50" t="inlineStr">
        <is>
          <t>B33</t>
        </is>
      </c>
      <c r="D50" t="inlineStr">
        <is>
          <t>Gross monthly income ($)</t>
        </is>
      </c>
    </row>
    <row r="51">
      <c r="A51" t="inlineStr">
        <is>
          <t>GrossRent</t>
        </is>
      </c>
      <c r="B51" t="inlineStr">
        <is>
          <t>DSCR_LTV</t>
        </is>
      </c>
      <c r="C51" t="inlineStr">
        <is>
          <t>B10</t>
        </is>
      </c>
      <c r="D51" t="inlineStr">
        <is>
          <t>Gross monthly rent ($)</t>
        </is>
      </c>
    </row>
    <row r="52">
      <c r="A52" t="inlineStr">
        <is>
          <t>HOA</t>
        </is>
      </c>
      <c r="B52" t="inlineStr">
        <is>
          <t>DSCR_LTV</t>
        </is>
      </c>
      <c r="C52" t="inlineStr">
        <is>
          <t>B13</t>
        </is>
      </c>
      <c r="D52" t="inlineStr">
        <is>
          <t>Monthly HOA / association dues ($)</t>
        </is>
      </c>
    </row>
    <row r="53">
      <c r="A53" t="inlineStr">
        <is>
          <t>HPA</t>
        </is>
      </c>
      <c r="B53" t="inlineStr">
        <is>
          <t>DSCR_LTV</t>
        </is>
      </c>
      <c r="C53" t="inlineStr">
        <is>
          <t>B26</t>
        </is>
      </c>
      <c r="D53" t="inlineStr">
        <is>
          <t>HPA shock (decimal)</t>
        </is>
      </c>
    </row>
    <row r="54">
      <c r="A54" t="inlineStr">
        <is>
          <t>IO_Flag</t>
        </is>
      </c>
      <c r="B54" t="inlineStr">
        <is>
          <t>DSCR_LTV</t>
        </is>
      </c>
      <c r="C54" t="inlineStr">
        <is>
          <t>B9</t>
        </is>
      </c>
      <c r="D54" t="inlineStr">
        <is>
          <t>Interest-only? (1 = yes, 0 = no)</t>
        </is>
      </c>
    </row>
    <row r="55">
      <c r="A55" t="inlineStr">
        <is>
          <t>Ins</t>
        </is>
      </c>
      <c r="B55" t="inlineStr">
        <is>
          <t>DSCR_LTV</t>
        </is>
      </c>
      <c r="C55" t="inlineStr">
        <is>
          <t>B12</t>
        </is>
      </c>
      <c r="D55" t="inlineStr">
        <is>
          <t>Monthly insurance ($)</t>
        </is>
      </c>
    </row>
    <row r="56">
      <c r="A56" t="inlineStr">
        <is>
          <t>Loan</t>
        </is>
      </c>
      <c r="B56" t="inlineStr">
        <is>
          <t>DSCR_LTV</t>
        </is>
      </c>
      <c r="C56" t="inlineStr">
        <is>
          <t>B6</t>
        </is>
      </c>
      <c r="D56" t="inlineStr">
        <is>
          <t>Loan amount ($)</t>
        </is>
      </c>
    </row>
    <row r="57">
      <c r="A57" t="inlineStr">
        <is>
          <t>MonthlyDebt</t>
        </is>
      </c>
      <c r="B57" t="inlineStr">
        <is>
          <t>DSCR_LTV</t>
        </is>
      </c>
      <c r="C57" t="inlineStr">
        <is>
          <t>B32</t>
        </is>
      </c>
      <c r="D57" t="inlineStr">
        <is>
          <t>Total monthly debt payments ($)</t>
        </is>
      </c>
    </row>
    <row r="58">
      <c r="A58" t="inlineStr">
        <is>
          <t>NoteRate</t>
        </is>
      </c>
      <c r="B58" t="inlineStr">
        <is>
          <t>DSCR_LTV</t>
        </is>
      </c>
      <c r="C58" t="inlineStr">
        <is>
          <t>B7</t>
        </is>
      </c>
      <c r="D58" t="inlineStr">
        <is>
          <t>Note rate (decimal)</t>
        </is>
      </c>
    </row>
    <row r="59">
      <c r="A59" t="inlineStr">
        <is>
          <t>PITIA</t>
        </is>
      </c>
      <c r="B59" t="inlineStr">
        <is>
          <t>DSCR_LTV</t>
        </is>
      </c>
      <c r="C59" t="inlineStr">
        <is>
          <t>B15</t>
        </is>
      </c>
      <c r="D59" t="inlineStr">
        <is>
          <t>PITIA</t>
        </is>
      </c>
    </row>
    <row r="60">
      <c r="A60" t="inlineStr">
        <is>
          <t>PI_Pmt</t>
        </is>
      </c>
      <c r="B60" t="inlineStr">
        <is>
          <t>DSCR_LTV</t>
        </is>
      </c>
      <c r="C60" t="inlineStr">
        <is>
          <t>B14</t>
        </is>
      </c>
      <c r="D60" t="inlineStr">
        <is>
          <t>Monthly P&amp;I  =IF(IO_Flag=1,Loan*NoteRate/12,PMT(NoteRate/12,AmortTerm,-Loan))</t>
        </is>
      </c>
    </row>
    <row r="61">
      <c r="A61" t="inlineStr">
        <is>
          <t>PurchPx</t>
        </is>
      </c>
      <c r="B61" t="inlineStr">
        <is>
          <t>DSCR_LTV</t>
        </is>
      </c>
      <c r="C61" t="inlineStr">
        <is>
          <t>B23</t>
        </is>
      </c>
      <c r="D61" t="inlineStr">
        <is>
          <t>Purchase price ($)</t>
        </is>
      </c>
    </row>
    <row r="62">
      <c r="A62" t="inlineStr">
        <is>
          <t>RTL_Loan</t>
        </is>
      </c>
      <c r="B62" t="inlineStr">
        <is>
          <t>DSCR_LTV</t>
        </is>
      </c>
      <c r="C62" t="inlineStr">
        <is>
          <t>B37</t>
        </is>
      </c>
      <c r="D62" t="inlineStr">
        <is>
          <t>RTL loan amount (incl. rehab holdback) ($)</t>
        </is>
      </c>
    </row>
    <row r="63">
      <c r="A63" t="inlineStr">
        <is>
          <t>RTL_Purch</t>
        </is>
      </c>
      <c r="B63" t="inlineStr">
        <is>
          <t>DSCR_LTV</t>
        </is>
      </c>
      <c r="C63" t="inlineStr">
        <is>
          <t>B38</t>
        </is>
      </c>
      <c r="D63" t="inlineStr">
        <is>
          <t>Purchase price ($)</t>
        </is>
      </c>
    </row>
    <row r="64">
      <c r="A64" t="inlineStr">
        <is>
          <t>RehabBudget</t>
        </is>
      </c>
      <c r="B64" t="inlineStr">
        <is>
          <t>DSCR_LTV</t>
        </is>
      </c>
      <c r="C64" t="inlineStr">
        <is>
          <t>B39</t>
        </is>
      </c>
      <c r="D64" t="inlineStr">
        <is>
          <t>Rehab budget ($)</t>
        </is>
      </c>
    </row>
    <row r="65">
      <c r="A65" t="inlineStr">
        <is>
          <t>SecondLien</t>
        </is>
      </c>
      <c r="B65" t="inlineStr">
        <is>
          <t>DSCR_LTV</t>
        </is>
      </c>
      <c r="C65" t="inlineStr">
        <is>
          <t>B24</t>
        </is>
      </c>
      <c r="D65" t="inlineStr">
        <is>
          <t>Second lien balance (or full HELOC line for HCLTV) ($)</t>
        </is>
      </c>
    </row>
    <row r="66">
      <c r="A66" t="inlineStr">
        <is>
          <t>Taxes</t>
        </is>
      </c>
      <c r="B66" t="inlineStr">
        <is>
          <t>DSCR_LTV</t>
        </is>
      </c>
      <c r="C66" t="inlineStr">
        <is>
          <t>B11</t>
        </is>
      </c>
      <c r="D66" t="inlineStr">
        <is>
          <t>Monthly property taxes ($)</t>
        </is>
      </c>
    </row>
    <row r="67">
      <c r="A67" t="inlineStr">
        <is>
          <t>AccruedPts</t>
        </is>
      </c>
      <c r="B67" t="inlineStr">
        <is>
          <t>Duration_DV01_Hedge</t>
        </is>
      </c>
      <c r="C67" t="inlineStr">
        <is>
          <t>B8</t>
        </is>
      </c>
      <c r="D67" t="inlineStr">
        <is>
          <t>Accrued interest (points per 100)</t>
        </is>
      </c>
    </row>
    <row r="68">
      <c r="A68" t="inlineStr">
        <is>
          <t>CTD_CF</t>
        </is>
      </c>
      <c r="B68" t="inlineStr">
        <is>
          <t>Duration_DV01_Hedge</t>
        </is>
      </c>
      <c r="C68" t="inlineStr">
        <is>
          <t>B15</t>
        </is>
      </c>
      <c r="D68" t="inlineStr">
        <is>
          <t>CTD conversion factor (illustrative)</t>
        </is>
      </c>
    </row>
    <row r="69">
      <c r="A69" t="inlineStr">
        <is>
          <t>CTD_DV01</t>
        </is>
      </c>
      <c r="B69" t="inlineStr">
        <is>
          <t>Duration_DV01_Hedge</t>
        </is>
      </c>
      <c r="C69" t="inlineStr">
        <is>
          <t>B14</t>
        </is>
      </c>
      <c r="D69" t="inlineStr">
        <is>
          <t>CTD DV01 per $100k face (illustrative)</t>
        </is>
      </c>
    </row>
    <row r="70">
      <c r="A70" t="inlineStr">
        <is>
          <t>Convexity</t>
        </is>
      </c>
      <c r="B70" t="inlineStr">
        <is>
          <t>Duration_DV01_Hedge</t>
        </is>
      </c>
      <c r="C70" t="inlineStr">
        <is>
          <t>B10</t>
        </is>
      </c>
      <c r="D70" t="inlineStr">
        <is>
          <t>Effective convexity (years^2 convention)</t>
        </is>
      </c>
    </row>
    <row r="71">
      <c r="A71" t="inlineStr">
        <is>
          <t>Cpn</t>
        </is>
      </c>
      <c r="B71" t="inlineStr">
        <is>
          <t>Duration_DV01_Hedge</t>
        </is>
      </c>
      <c r="C71" t="inlineStr">
        <is>
          <t>B33</t>
        </is>
      </c>
      <c r="D71" t="inlineStr">
        <is>
          <t>Coupon (decimal)</t>
        </is>
      </c>
    </row>
    <row r="72">
      <c r="A72" t="inlineStr">
        <is>
          <t>DeltaY</t>
        </is>
      </c>
      <c r="B72" t="inlineStr">
        <is>
          <t>Duration_DV01_Hedge</t>
        </is>
      </c>
      <c r="C72" t="inlineStr">
        <is>
          <t>B35</t>
        </is>
      </c>
      <c r="D72" t="inlineStr">
        <is>
          <t>Yield change for P&amp;L check (decimal; 0.0001 = 1bp)</t>
        </is>
      </c>
    </row>
    <row r="73">
      <c r="A73" t="inlineStr">
        <is>
          <t>EffDur</t>
        </is>
      </c>
      <c r="B73" t="inlineStr">
        <is>
          <t>Duration_DV01_Hedge</t>
        </is>
      </c>
      <c r="C73" t="inlineStr">
        <is>
          <t>B9</t>
        </is>
      </c>
      <c r="D73" t="inlineStr">
        <is>
          <t>Effective duration</t>
        </is>
      </c>
    </row>
    <row r="74">
      <c r="A74" t="inlineStr">
        <is>
          <t>FV_Contracts</t>
        </is>
      </c>
      <c r="B74" t="inlineStr">
        <is>
          <t>Duration_DV01_Hedge</t>
        </is>
      </c>
      <c r="C74" t="inlineStr">
        <is>
          <t>B24</t>
        </is>
      </c>
      <c r="D74" t="inlineStr">
        <is>
          <t>5Y futures to sell (split)</t>
        </is>
      </c>
    </row>
    <row r="75">
      <c r="A75" t="inlineStr">
        <is>
          <t>FV_DV01</t>
        </is>
      </c>
      <c r="B75" t="inlineStr">
        <is>
          <t>Duration_DV01_Hedge</t>
        </is>
      </c>
      <c r="C75" t="inlineStr">
        <is>
          <t>B12</t>
        </is>
      </c>
      <c r="D75" t="inlineStr">
        <is>
          <t>5Y note future DV01 per contract (illustrative)</t>
        </is>
      </c>
    </row>
    <row r="76">
      <c r="A76" t="inlineStr">
        <is>
          <t>Face</t>
        </is>
      </c>
      <c r="B76" t="inlineStr">
        <is>
          <t>Duration_DV01_Hedge</t>
        </is>
      </c>
      <c r="C76" t="inlineStr">
        <is>
          <t>B6</t>
        </is>
      </c>
      <c r="D76" t="inlineStr">
        <is>
          <t>Face amount ($)</t>
        </is>
      </c>
    </row>
    <row r="77">
      <c r="A77" t="inlineStr">
        <is>
          <t>MV</t>
        </is>
      </c>
      <c r="B77" t="inlineStr">
        <is>
          <t>Duration_DV01_Hedge</t>
        </is>
      </c>
      <c r="C77" t="inlineStr">
        <is>
          <t>B20</t>
        </is>
      </c>
      <c r="D77" t="inlineStr">
        <is>
          <t>Market value incl. accrued ($)</t>
        </is>
      </c>
    </row>
    <row r="78">
      <c r="A78" t="inlineStr">
        <is>
          <t>MacDur</t>
        </is>
      </c>
      <c r="B78" t="inlineStr">
        <is>
          <t>Duration_DV01_Hedge</t>
        </is>
      </c>
      <c r="C78" t="inlineStr">
        <is>
          <t>B37</t>
        </is>
      </c>
      <c r="D78" t="inlineStr">
        <is>
          <t>Macaulay duration  =DURATION(...)</t>
        </is>
      </c>
    </row>
    <row r="79">
      <c r="A79" t="inlineStr">
        <is>
          <t>Maturity</t>
        </is>
      </c>
      <c r="B79" t="inlineStr">
        <is>
          <t>Duration_DV01_Hedge</t>
        </is>
      </c>
      <c r="C79" t="inlineStr">
        <is>
          <t>B32</t>
        </is>
      </c>
      <c r="D79" t="inlineStr">
        <is>
          <t>Maturity date</t>
        </is>
      </c>
    </row>
    <row r="80">
      <c r="A80" t="inlineStr">
        <is>
          <t>ModDur</t>
        </is>
      </c>
      <c r="B80" t="inlineStr">
        <is>
          <t>Duration_DV01_Hedge</t>
        </is>
      </c>
      <c r="C80" t="inlineStr">
        <is>
          <t>B38</t>
        </is>
      </c>
      <c r="D80" t="inlineStr">
        <is>
          <t>Modified duration  =MDURATION(...)</t>
        </is>
      </c>
    </row>
    <row r="81">
      <c r="A81" t="inlineStr">
        <is>
          <t>Position_DV01</t>
        </is>
      </c>
      <c r="B81" t="inlineStr">
        <is>
          <t>Duration_DV01_Hedge</t>
        </is>
      </c>
      <c r="C81" t="inlineStr">
        <is>
          <t>B21</t>
        </is>
      </c>
      <c r="D81" t="inlineStr">
        <is>
          <t>Position DV01 ($ per bp)</t>
        </is>
      </c>
    </row>
    <row r="82">
      <c r="A82" t="inlineStr">
        <is>
          <t>Price</t>
        </is>
      </c>
      <c r="B82" t="inlineStr">
        <is>
          <t>Duration_DV01_Hedge</t>
        </is>
      </c>
      <c r="C82" t="inlineStr">
        <is>
          <t>B7</t>
        </is>
      </c>
      <c r="D82" t="inlineStr">
        <is>
          <t>Price (points per 100)</t>
        </is>
      </c>
    </row>
    <row r="83">
      <c r="A83" t="inlineStr">
        <is>
          <t>Settle</t>
        </is>
      </c>
      <c r="B83" t="inlineStr">
        <is>
          <t>Duration_DV01_Hedge</t>
        </is>
      </c>
      <c r="C83" t="inlineStr">
        <is>
          <t>B31</t>
        </is>
      </c>
      <c r="D83" t="inlineStr">
        <is>
          <t>Settlement date</t>
        </is>
      </c>
    </row>
    <row r="84">
      <c r="A84" t="inlineStr">
        <is>
          <t>Sigma_bp</t>
        </is>
      </c>
      <c r="B84" t="inlineStr">
        <is>
          <t>Duration_DV01_Hedge</t>
        </is>
      </c>
      <c r="C84" t="inlineStr">
        <is>
          <t>B17</t>
        </is>
      </c>
      <c r="D84" t="inlineStr">
        <is>
          <t>Daily rate vol for VaR (bp)</t>
        </is>
      </c>
    </row>
    <row r="85">
      <c r="A85" t="inlineStr">
        <is>
          <t>Split10</t>
        </is>
      </c>
      <c r="B85" t="inlineStr">
        <is>
          <t>Duration_DV01_Hedge</t>
        </is>
      </c>
      <c r="C85" t="inlineStr">
        <is>
          <t>B16</t>
        </is>
      </c>
      <c r="D85" t="inlineStr">
        <is>
          <t>Share of DV01 hedged in 10Y (rest in 5Y)</t>
        </is>
      </c>
    </row>
    <row r="86">
      <c r="A86" t="inlineStr">
        <is>
          <t>Swap10_DV01_per_mm</t>
        </is>
      </c>
      <c r="B86" t="inlineStr">
        <is>
          <t>Duration_DV01_Hedge</t>
        </is>
      </c>
      <c r="C86" t="inlineStr">
        <is>
          <t>B13</t>
        </is>
      </c>
      <c r="D86" t="inlineStr">
        <is>
          <t>10Y SOFR swap DV01 per $1mm notional (illustrative)</t>
        </is>
      </c>
    </row>
    <row r="87">
      <c r="A87" t="inlineStr">
        <is>
          <t>TY_Contracts</t>
        </is>
      </c>
      <c r="B87" t="inlineStr">
        <is>
          <t>Duration_DV01_Hedge</t>
        </is>
      </c>
      <c r="C87" t="inlineStr">
        <is>
          <t>B23</t>
        </is>
      </c>
      <c r="D87" t="inlineStr">
        <is>
          <t>10Y futures to sell (split)</t>
        </is>
      </c>
    </row>
    <row r="88">
      <c r="A88" t="inlineStr">
        <is>
          <t>TY_DV01</t>
        </is>
      </c>
      <c r="B88" t="inlineStr">
        <is>
          <t>Duration_DV01_Hedge</t>
        </is>
      </c>
      <c r="C88" t="inlineStr">
        <is>
          <t>B11</t>
        </is>
      </c>
      <c r="D88" t="inlineStr">
        <is>
          <t>10Y note future DV01 per contract (illustrative)</t>
        </is>
      </c>
    </row>
    <row r="89">
      <c r="A89" t="inlineStr">
        <is>
          <t>T_Conv</t>
        </is>
      </c>
      <c r="B89" t="inlineStr">
        <is>
          <t>Duration_DV01_Hedge</t>
        </is>
      </c>
      <c r="C89" t="inlineStr">
        <is>
          <t>B46</t>
        </is>
      </c>
      <c r="D89" t="inlineStr">
        <is>
          <t>Treasury convexity for grid</t>
        </is>
      </c>
    </row>
    <row r="90">
      <c r="A90" t="inlineStr">
        <is>
          <t>T_Dur</t>
        </is>
      </c>
      <c r="B90" t="inlineStr">
        <is>
          <t>Duration_DV01_Hedge</t>
        </is>
      </c>
      <c r="C90" t="inlineStr">
        <is>
          <t>B45</t>
        </is>
      </c>
      <c r="D90" t="inlineStr">
        <is>
          <t>Treasury duration for grid</t>
        </is>
      </c>
    </row>
    <row r="91">
      <c r="A91" t="inlineStr">
        <is>
          <t>T_Price</t>
        </is>
      </c>
      <c r="B91" t="inlineStr">
        <is>
          <t>Duration_DV01_Hedge</t>
        </is>
      </c>
      <c r="C91" t="inlineStr">
        <is>
          <t>B36</t>
        </is>
      </c>
      <c r="D91" t="inlineStr">
        <is>
          <t>Price  =PRICE(Settle,Maturity,Cpn,Yld,100,2,1)</t>
        </is>
      </c>
    </row>
    <row r="92">
      <c r="A92" t="inlineStr">
        <is>
          <t>Yld</t>
        </is>
      </c>
      <c r="B92" t="inlineStr">
        <is>
          <t>Duration_DV01_Hedge</t>
        </is>
      </c>
      <c r="C92" t="inlineStr">
        <is>
          <t>B34</t>
        </is>
      </c>
      <c r="D92" t="inlineStr">
        <is>
          <t>Yield (decimal, semiannual)</t>
        </is>
      </c>
    </row>
    <row r="93">
      <c r="A93" t="inlineStr">
        <is>
          <t>AgeMo</t>
        </is>
      </c>
      <c r="B93" t="inlineStr">
        <is>
          <t>Prepay_Conversions</t>
        </is>
      </c>
      <c r="C93" t="inlineStr">
        <is>
          <t>B22</t>
        </is>
      </c>
      <c r="D93" t="inlineStr">
        <is>
          <t>Loan age at payoff (months)</t>
        </is>
      </c>
    </row>
    <row r="94">
      <c r="A94" t="inlineStr">
        <is>
          <t>PP_Age</t>
        </is>
      </c>
      <c r="B94" t="inlineStr">
        <is>
          <t>Prepay_Conversions</t>
        </is>
      </c>
      <c r="C94" t="inlineStr">
        <is>
          <t>B9</t>
        </is>
      </c>
      <c r="D94" t="inlineStr">
        <is>
          <t>Loan age (months)</t>
        </is>
      </c>
    </row>
    <row r="95">
      <c r="A95" t="inlineStr">
        <is>
          <t>PP_CDR</t>
        </is>
      </c>
      <c r="B95" t="inlineStr">
        <is>
          <t>Prepay_Conversions</t>
        </is>
      </c>
      <c r="C95" t="inlineStr">
        <is>
          <t>B10</t>
        </is>
      </c>
      <c r="D95" t="inlineStr">
        <is>
          <t>CDR (annual, decimal)</t>
        </is>
      </c>
    </row>
    <row r="96">
      <c r="A96" t="inlineStr">
        <is>
          <t>PP_CPR</t>
        </is>
      </c>
      <c r="B96" t="inlineStr">
        <is>
          <t>Prepay_Conversions</t>
        </is>
      </c>
      <c r="C96" t="inlineStr">
        <is>
          <t>B6</t>
        </is>
      </c>
      <c r="D96" t="inlineStr">
        <is>
          <t>CPR (annual, decimal)</t>
        </is>
      </c>
    </row>
    <row r="97">
      <c r="A97" t="inlineStr">
        <is>
          <t>PP_PSA</t>
        </is>
      </c>
      <c r="B97" t="inlineStr">
        <is>
          <t>Prepay_Conversions</t>
        </is>
      </c>
      <c r="C97" t="inlineStr">
        <is>
          <t>B8</t>
        </is>
      </c>
      <c r="D97" t="inlineStr">
        <is>
          <t>PSA speed</t>
        </is>
      </c>
    </row>
    <row r="98">
      <c r="A98" t="inlineStr">
        <is>
          <t>PP_SMM</t>
        </is>
      </c>
      <c r="B98" t="inlineStr">
        <is>
          <t>Prepay_Conversions</t>
        </is>
      </c>
      <c r="C98" t="inlineStr">
        <is>
          <t>B7</t>
        </is>
      </c>
      <c r="D98" t="inlineStr">
        <is>
          <t>SMM (monthly, decimal)</t>
        </is>
      </c>
    </row>
    <row r="99">
      <c r="A99" t="inlineStr">
        <is>
          <t>PenaltySched</t>
        </is>
      </c>
      <c r="B99" t="inlineStr">
        <is>
          <t>Prepay_Conversions</t>
        </is>
      </c>
      <c r="C99" t="inlineStr">
        <is>
          <t>B20:F20</t>
        </is>
      </c>
      <c r="D99" t="inlineStr">
        <is>
          <t>Step-down penalty % by loan year</t>
        </is>
      </c>
    </row>
    <row r="100">
      <c r="A100" t="inlineStr">
        <is>
          <t>PrepayAmt</t>
        </is>
      </c>
      <c r="B100" t="inlineStr">
        <is>
          <t>Prepay_Conversions</t>
        </is>
      </c>
      <c r="C100" t="inlineStr">
        <is>
          <t>B21</t>
        </is>
      </c>
      <c r="D100" t="inlineStr">
        <is>
          <t>Amount prepaid ($)</t>
        </is>
      </c>
    </row>
    <row r="101">
      <c r="A101" t="inlineStr">
        <is>
          <t>BEY</t>
        </is>
      </c>
      <c r="B101" t="inlineStr">
        <is>
          <t>Spreads</t>
        </is>
      </c>
      <c r="C101" t="inlineStr">
        <is>
          <t>B15</t>
        </is>
      </c>
      <c r="D101" t="inlineStr">
        <is>
          <t>BEY  =2*((1+MtgYld/12)^6-1)</t>
        </is>
      </c>
    </row>
    <row r="102">
      <c r="A102" t="inlineStr">
        <is>
          <t>BondYld</t>
        </is>
      </c>
      <c r="B102" t="inlineStr">
        <is>
          <t>Spreads</t>
        </is>
      </c>
      <c r="C102" t="inlineStr">
        <is>
          <t>B20</t>
        </is>
      </c>
      <c r="D102" t="inlineStr">
        <is>
          <t>Bond yield (decimal)</t>
        </is>
      </c>
    </row>
    <row r="103">
      <c r="A103" t="inlineStr">
        <is>
          <t>CC_Yld</t>
        </is>
      </c>
      <c r="B103" t="inlineStr">
        <is>
          <t>Spreads</t>
        </is>
      </c>
      <c r="C103" t="inlineStr">
        <is>
          <t>B8</t>
        </is>
      </c>
      <c r="D103" t="inlineStr">
        <is>
          <t>Current-coupon MBS yield (decimal)</t>
        </is>
      </c>
    </row>
    <row r="104">
      <c r="A104" t="inlineStr">
        <is>
          <t>DecPx</t>
        </is>
      </c>
      <c r="B104" t="inlineStr">
        <is>
          <t>Spreads</t>
        </is>
      </c>
      <c r="C104" t="inlineStr">
        <is>
          <t>B38</t>
        </is>
      </c>
      <c r="D104" t="inlineStr">
        <is>
          <t>Decimal price  =DOLLARDE(Quote32,32)</t>
        </is>
      </c>
    </row>
    <row r="105">
      <c r="A105" t="inlineStr">
        <is>
          <t>GSpread_bp</t>
        </is>
      </c>
      <c r="B105" t="inlineStr">
        <is>
          <t>Spreads</t>
        </is>
      </c>
      <c r="C105" t="inlineStr">
        <is>
          <t>B28</t>
        </is>
      </c>
      <c r="D105" t="inlineStr">
        <is>
          <t>Nominal / G-spread (bp)</t>
        </is>
      </c>
    </row>
    <row r="106">
      <c r="A106" t="inlineStr">
        <is>
          <t>MtgRate</t>
        </is>
      </c>
      <c r="B106" t="inlineStr">
        <is>
          <t>Spreads</t>
        </is>
      </c>
      <c r="C106" t="inlineStr">
        <is>
          <t>B6</t>
        </is>
      </c>
      <c r="D106" t="inlineStr">
        <is>
          <t>Primary mortgage rate (decimal)</t>
        </is>
      </c>
    </row>
    <row r="107">
      <c r="A107" t="inlineStr">
        <is>
          <t>MtgYld</t>
        </is>
      </c>
      <c r="B107" t="inlineStr">
        <is>
          <t>Spreads</t>
        </is>
      </c>
      <c r="C107" t="inlineStr">
        <is>
          <t>B14</t>
        </is>
      </c>
      <c r="D107" t="inlineStr">
        <is>
          <t>Mortgage (monthly-compounded) yield</t>
        </is>
      </c>
    </row>
    <row r="108">
      <c r="A108" t="inlineStr">
        <is>
          <t>OAS_bp</t>
        </is>
      </c>
      <c r="B108" t="inlineStr">
        <is>
          <t>Spreads</t>
        </is>
      </c>
      <c r="C108" t="inlineStr">
        <is>
          <t>B33</t>
        </is>
      </c>
      <c r="D108" t="inlineStr">
        <is>
          <t>OAS (bp, from vendor)</t>
        </is>
      </c>
    </row>
    <row r="109">
      <c r="A109" t="inlineStr">
        <is>
          <t>Quote32</t>
        </is>
      </c>
      <c r="B109" t="inlineStr">
        <is>
          <t>Spreads</t>
        </is>
      </c>
      <c r="C109" t="inlineStr">
        <is>
          <t>B37</t>
        </is>
      </c>
      <c r="D109" t="inlineStr">
        <is>
          <t>Quoted price in handle.32nds form (98.16 = 98-16)</t>
        </is>
      </c>
    </row>
    <row r="110">
      <c r="A110" t="inlineStr">
        <is>
          <t>Roll_Carry</t>
        </is>
      </c>
      <c r="B110" t="inlineStr">
        <is>
          <t>Spreads</t>
        </is>
      </c>
      <c r="C110" t="inlineStr">
        <is>
          <t>B51</t>
        </is>
      </c>
      <c r="D110" t="inlineStr">
        <is>
          <t>Carry (points)</t>
        </is>
      </c>
    </row>
    <row r="111">
      <c r="A111" t="inlineStr">
        <is>
          <t>Roll_Cpn</t>
        </is>
      </c>
      <c r="B111" t="inlineStr">
        <is>
          <t>Spreads</t>
        </is>
      </c>
      <c r="C111" t="inlineStr">
        <is>
          <t>B45</t>
        </is>
      </c>
      <c r="D111" t="inlineStr">
        <is>
          <t>Coupon (decimal)</t>
        </is>
      </c>
    </row>
    <row r="112">
      <c r="A112" t="inlineStr">
        <is>
          <t>Roll_Days</t>
        </is>
      </c>
      <c r="B112" t="inlineStr">
        <is>
          <t>Spreads</t>
        </is>
      </c>
      <c r="C112" t="inlineStr">
        <is>
          <t>B47</t>
        </is>
      </c>
      <c r="D112" t="inlineStr">
        <is>
          <t>Days in roll period</t>
        </is>
      </c>
    </row>
    <row r="113">
      <c r="A113" t="inlineStr">
        <is>
          <t>Roll_Drop32</t>
        </is>
      </c>
      <c r="B113" t="inlineStr">
        <is>
          <t>Spreads</t>
        </is>
      </c>
      <c r="C113" t="inlineStr">
        <is>
          <t>B50</t>
        </is>
      </c>
      <c r="D113" t="inlineStr">
        <is>
          <t>Quoted drop (32nds)</t>
        </is>
      </c>
    </row>
    <row r="114">
      <c r="A114" t="inlineStr">
        <is>
          <t>Roll_PctPaid</t>
        </is>
      </c>
      <c r="B114" t="inlineStr">
        <is>
          <t>Spreads</t>
        </is>
      </c>
      <c r="C114" t="inlineStr">
        <is>
          <t>B49</t>
        </is>
      </c>
      <c r="D114" t="inlineStr">
        <is>
          <t>Fraction of balance paid down in month</t>
        </is>
      </c>
    </row>
    <row r="115">
      <c r="A115" t="inlineStr">
        <is>
          <t>Roll_Px</t>
        </is>
      </c>
      <c r="B115" t="inlineStr">
        <is>
          <t>Spreads</t>
        </is>
      </c>
      <c r="C115" t="inlineStr">
        <is>
          <t>B48</t>
        </is>
      </c>
      <c r="D115" t="inlineStr">
        <is>
          <t>Price (points)</t>
        </is>
      </c>
    </row>
    <row r="116">
      <c r="A116" t="inlineStr">
        <is>
          <t>Roll_Repo</t>
        </is>
      </c>
      <c r="B116" t="inlineStr">
        <is>
          <t>Spreads</t>
        </is>
      </c>
      <c r="C116" t="inlineStr">
        <is>
          <t>B46</t>
        </is>
      </c>
      <c r="D116" t="inlineStr">
        <is>
          <t>Repo rate (decimal)</t>
        </is>
      </c>
    </row>
    <row r="117">
      <c r="A117" t="inlineStr">
        <is>
          <t>SwapSpread_bp</t>
        </is>
      </c>
      <c r="B117" t="inlineStr">
        <is>
          <t>Spreads</t>
        </is>
      </c>
      <c r="C117" t="inlineStr">
        <is>
          <t>B26</t>
        </is>
      </c>
      <c r="D117" t="inlineStr">
        <is>
          <t>Swap spread at WAL (bp, swap minus Treasury)</t>
        </is>
      </c>
    </row>
    <row r="118">
      <c r="A118" t="inlineStr">
        <is>
          <t>T_hi</t>
        </is>
      </c>
      <c r="B118" t="inlineStr">
        <is>
          <t>Spreads</t>
        </is>
      </c>
      <c r="C118" t="inlineStr">
        <is>
          <t>B23</t>
        </is>
      </c>
      <c r="D118" t="inlineStr">
        <is>
          <t>Upper tenor (years)</t>
        </is>
      </c>
    </row>
    <row r="119">
      <c r="A119" t="inlineStr">
        <is>
          <t>T_lo</t>
        </is>
      </c>
      <c r="B119" t="inlineStr">
        <is>
          <t>Spreads</t>
        </is>
      </c>
      <c r="C119" t="inlineStr">
        <is>
          <t>B22</t>
        </is>
      </c>
      <c r="D119" t="inlineStr">
        <is>
          <t>Lower tenor (years)</t>
        </is>
      </c>
    </row>
    <row r="120">
      <c r="A120" t="inlineStr">
        <is>
          <t>TickFace</t>
        </is>
      </c>
      <c r="B120" t="inlineStr">
        <is>
          <t>Spreads</t>
        </is>
      </c>
      <c r="C120" t="inlineStr">
        <is>
          <t>B41</t>
        </is>
      </c>
      <c r="D120" t="inlineStr">
        <is>
          <t>Face for tick value ($)</t>
        </is>
      </c>
    </row>
    <row r="121">
      <c r="A121" t="inlineStr">
        <is>
          <t>UST_10Y</t>
        </is>
      </c>
      <c r="B121" t="inlineStr">
        <is>
          <t>Spreads</t>
        </is>
      </c>
      <c r="C121" t="inlineStr">
        <is>
          <t>B7</t>
        </is>
      </c>
      <c r="D121" t="inlineStr">
        <is>
          <t>10Y Treasury yield (decimal)</t>
        </is>
      </c>
    </row>
    <row r="122">
      <c r="A122" t="inlineStr">
        <is>
          <t>UST_at_WAL</t>
        </is>
      </c>
      <c r="B122" t="inlineStr">
        <is>
          <t>Spreads</t>
        </is>
      </c>
      <c r="C122" t="inlineStr">
        <is>
          <t>B27</t>
        </is>
      </c>
      <c r="D122" t="inlineStr">
        <is>
          <t>Interpolated Treasury at WAL</t>
        </is>
      </c>
    </row>
    <row r="123">
      <c r="A123" t="inlineStr">
        <is>
          <t>WAL</t>
        </is>
      </c>
      <c r="B123" t="inlineStr">
        <is>
          <t>Spreads</t>
        </is>
      </c>
      <c r="C123" t="inlineStr">
        <is>
          <t>B21</t>
        </is>
      </c>
      <c r="D123" t="inlineStr">
        <is>
          <t>Bond WAL (years)</t>
        </is>
      </c>
    </row>
    <row r="124">
      <c r="A124" t="inlineStr">
        <is>
          <t>Yld_hi</t>
        </is>
      </c>
      <c r="B124" t="inlineStr">
        <is>
          <t>Spreads</t>
        </is>
      </c>
      <c r="C124" t="inlineStr">
        <is>
          <t>B25</t>
        </is>
      </c>
      <c r="D124" t="inlineStr">
        <is>
          <t>Treasury yield at upper tenor</t>
        </is>
      </c>
    </row>
    <row r="125">
      <c r="A125" t="inlineStr">
        <is>
          <t>Yld_lo</t>
        </is>
      </c>
      <c r="B125" t="inlineStr">
        <is>
          <t>Spreads</t>
        </is>
      </c>
      <c r="C125" t="inlineStr">
        <is>
          <t>B24</t>
        </is>
      </c>
      <c r="D125" t="inlineStr">
        <is>
          <t>Treasury yield at lower tenor</t>
        </is>
      </c>
    </row>
    <row r="126">
      <c r="A126" t="inlineStr">
        <is>
          <t>ZSpread_bp</t>
        </is>
      </c>
      <c r="B126" t="inlineStr">
        <is>
          <t>Spreads</t>
        </is>
      </c>
      <c r="C126" t="inlineStr">
        <is>
          <t>B32</t>
        </is>
      </c>
      <c r="D126" t="inlineStr">
        <is>
          <t>Z-spread (bp, from vendor)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Duration, DV01 and hedge ratios</t>
        </is>
      </c>
    </row>
    <row r="2">
      <c r="A2" s="6" t="inlineStr">
        <is>
          <t>Position DV01 = EffDur x MV x 0.0001; hedge units = Position_DV01 / Hedge_DV01</t>
        </is>
      </c>
    </row>
    <row r="3">
      <c r="A3" s="8" t="inlineStr">
        <is>
          <t>ILLUSTRATIVE INPUTS - Example numbers, not market data. Yellow cells with blue font are inputs; everything else is a formula.</t>
        </is>
      </c>
    </row>
    <row r="5">
      <c r="A5" s="7" t="inlineStr">
        <is>
          <t>INPUTS - position and hedge instruments</t>
        </is>
      </c>
      <c r="B5" s="9" t="n"/>
      <c r="C5" s="9" t="n"/>
      <c r="D5" s="9" t="n"/>
    </row>
    <row r="6">
      <c r="A6" t="inlineStr">
        <is>
          <t>Face amount ($)</t>
        </is>
      </c>
      <c r="B6" s="10" t="n">
        <v>100000000</v>
      </c>
      <c r="C6" s="6" t="inlineStr">
        <is>
          <t>Face</t>
        </is>
      </c>
      <c r="D6" s="6" t="inlineStr">
        <is>
          <t>$</t>
        </is>
      </c>
    </row>
    <row r="7">
      <c r="A7" t="inlineStr">
        <is>
          <t>Price (points per 100)</t>
        </is>
      </c>
      <c r="B7" s="11" t="n">
        <v>98</v>
      </c>
      <c r="C7" s="6" t="inlineStr">
        <is>
          <t>Price</t>
        </is>
      </c>
      <c r="D7" s="6" t="inlineStr">
        <is>
          <t>pts</t>
        </is>
      </c>
    </row>
    <row r="8">
      <c r="A8" t="inlineStr">
        <is>
          <t>Accrued interest (points per 100)</t>
        </is>
      </c>
      <c r="B8" s="11" t="n">
        <v>0</v>
      </c>
      <c r="C8" s="6" t="inlineStr">
        <is>
          <t>AccruedPts</t>
        </is>
      </c>
      <c r="D8" s="6" t="inlineStr">
        <is>
          <t>pts</t>
        </is>
      </c>
    </row>
    <row r="9">
      <c r="A9" t="inlineStr">
        <is>
          <t>Effective duration</t>
        </is>
      </c>
      <c r="B9" s="12" t="n">
        <v>5.2</v>
      </c>
      <c r="C9" s="6" t="inlineStr">
        <is>
          <t>EffDur</t>
        </is>
      </c>
      <c r="D9" s="6" t="inlineStr">
        <is>
          <t>years</t>
        </is>
      </c>
    </row>
    <row r="10">
      <c r="A10" t="inlineStr">
        <is>
          <t>Effective convexity (years^2 convention)</t>
        </is>
      </c>
      <c r="B10" s="12" t="n">
        <v>-150</v>
      </c>
      <c r="C10" s="6" t="inlineStr">
        <is>
          <t>Convexity</t>
        </is>
      </c>
      <c r="D10" s="6" t="inlineStr"/>
    </row>
    <row r="11">
      <c r="A11" t="inlineStr">
        <is>
          <t>10Y note future DV01 per contract (illustrative)</t>
        </is>
      </c>
      <c r="B11" s="13" t="n">
        <v>75</v>
      </c>
      <c r="C11" s="6" t="inlineStr">
        <is>
          <t>TY_DV01</t>
        </is>
      </c>
      <c r="D11" s="6" t="inlineStr">
        <is>
          <t>$/bp</t>
        </is>
      </c>
    </row>
    <row r="12">
      <c r="A12" t="inlineStr">
        <is>
          <t>5Y note future DV01 per contract (illustrative)</t>
        </is>
      </c>
      <c r="B12" s="13" t="n">
        <v>45</v>
      </c>
      <c r="C12" s="6" t="inlineStr">
        <is>
          <t>FV_DV01</t>
        </is>
      </c>
      <c r="D12" s="6" t="inlineStr">
        <is>
          <t>$/bp</t>
        </is>
      </c>
    </row>
    <row r="13">
      <c r="A13" t="inlineStr">
        <is>
          <t>10Y SOFR swap DV01 per $1mm notional (illustrative)</t>
        </is>
      </c>
      <c r="B13" s="13" t="n">
        <v>850</v>
      </c>
      <c r="C13" s="6" t="inlineStr">
        <is>
          <t>Swap10_DV01_per_mm</t>
        </is>
      </c>
      <c r="D13" s="6" t="inlineStr">
        <is>
          <t>$/bp</t>
        </is>
      </c>
    </row>
    <row r="14">
      <c r="A14" t="inlineStr">
        <is>
          <t>CTD DV01 per $100k face (illustrative)</t>
        </is>
      </c>
      <c r="B14" s="13" t="n">
        <v>62</v>
      </c>
      <c r="C14" s="6" t="inlineStr">
        <is>
          <t>CTD_DV01</t>
        </is>
      </c>
      <c r="D14" s="6" t="inlineStr">
        <is>
          <t>$/bp</t>
        </is>
      </c>
    </row>
    <row r="15">
      <c r="A15" t="inlineStr">
        <is>
          <t>CTD conversion factor (illustrative)</t>
        </is>
      </c>
      <c r="B15" s="11" t="n">
        <v>0.82</v>
      </c>
      <c r="C15" s="6" t="inlineStr">
        <is>
          <t>CTD_CF</t>
        </is>
      </c>
      <c r="D15" s="6" t="inlineStr"/>
    </row>
    <row r="16">
      <c r="A16" t="inlineStr">
        <is>
          <t>Share of DV01 hedged in 10Y (rest in 5Y)</t>
        </is>
      </c>
      <c r="B16" s="14" t="n">
        <v>0.5</v>
      </c>
      <c r="C16" s="6" t="inlineStr">
        <is>
          <t>Split10</t>
        </is>
      </c>
      <c r="D16" s="6" t="inlineStr"/>
    </row>
    <row r="17">
      <c r="A17" t="inlineStr">
        <is>
          <t>Daily rate vol for VaR (bp)</t>
        </is>
      </c>
      <c r="B17" s="12" t="n">
        <v>7</v>
      </c>
      <c r="C17" s="6" t="inlineStr">
        <is>
          <t>Sigma_bp</t>
        </is>
      </c>
      <c r="D17" s="6" t="inlineStr">
        <is>
          <t>bp</t>
        </is>
      </c>
    </row>
    <row r="19">
      <c r="A19" s="7" t="inlineStr">
        <is>
          <t>OUTPUTS</t>
        </is>
      </c>
      <c r="B19" s="9" t="n"/>
      <c r="C19" s="9" t="n"/>
      <c r="D19" s="9" t="n"/>
    </row>
    <row r="20">
      <c r="A20" t="inlineStr">
        <is>
          <t>Market value incl. accrued ($)</t>
        </is>
      </c>
      <c r="B20" s="15">
        <f>Face*(Price+AccruedPts)/100</f>
        <v/>
      </c>
      <c r="C20" s="6" t="inlineStr">
        <is>
          <t>MV</t>
        </is>
      </c>
      <c r="D20" s="6" t="inlineStr">
        <is>
          <t>$</t>
        </is>
      </c>
    </row>
    <row r="21">
      <c r="A21" t="inlineStr">
        <is>
          <t>Position DV01 ($ per bp)</t>
        </is>
      </c>
      <c r="B21" s="15">
        <f>EffDur*MV*0.0001</f>
        <v/>
      </c>
      <c r="C21" s="6" t="inlineStr">
        <is>
          <t>Position_DV01</t>
        </is>
      </c>
      <c r="D21" s="6" t="inlineStr">
        <is>
          <t>$/bp</t>
        </is>
      </c>
    </row>
    <row r="22">
      <c r="A22" t="inlineStr">
        <is>
          <t>10Y futures if all in 10s (contracts)</t>
        </is>
      </c>
      <c r="B22" s="16">
        <f>Position_DV01/TY_DV01</f>
        <v/>
      </c>
      <c r="C22" s="6" t="inlineStr"/>
      <c r="D22" s="6" t="inlineStr">
        <is>
          <t>contracts</t>
        </is>
      </c>
    </row>
    <row r="23">
      <c r="A23" t="inlineStr">
        <is>
          <t>10Y futures to sell (split)</t>
        </is>
      </c>
      <c r="B23" s="17">
        <f>ROUND(Position_DV01*Split10/TY_DV01,0)</f>
        <v/>
      </c>
      <c r="C23" s="6" t="inlineStr">
        <is>
          <t>TY_Contracts</t>
        </is>
      </c>
      <c r="D23" s="6" t="inlineStr">
        <is>
          <t>contracts</t>
        </is>
      </c>
    </row>
    <row r="24">
      <c r="A24" t="inlineStr">
        <is>
          <t>5Y futures to sell (split)</t>
        </is>
      </c>
      <c r="B24" s="17">
        <f>ROUND(Position_DV01*(1-Split10)/FV_DV01,0)</f>
        <v/>
      </c>
      <c r="C24" s="6" t="inlineStr">
        <is>
          <t>FV_Contracts</t>
        </is>
      </c>
      <c r="D24" s="6" t="inlineStr">
        <is>
          <t>contracts</t>
        </is>
      </c>
    </row>
    <row r="25">
      <c r="A25" t="inlineStr">
        <is>
          <t>Residual DV01 after futures ($/bp)</t>
        </is>
      </c>
      <c r="B25" s="18">
        <f>Position_DV01-TY_Contracts*TY_DV01-FV_Contracts*FV_DV01</f>
        <v/>
      </c>
      <c r="C25" s="6" t="inlineStr"/>
      <c r="D25" s="6" t="inlineStr">
        <is>
          <t>$/bp</t>
        </is>
      </c>
    </row>
    <row r="26">
      <c r="A26" t="inlineStr">
        <is>
          <t>Alternative: pay-fixed 10Y swap notional ($)</t>
        </is>
      </c>
      <c r="B26" s="15">
        <f>Position_DV01/Swap10_DV01_per_mm*1000000</f>
        <v/>
      </c>
      <c r="C26" s="6" t="inlineStr"/>
      <c r="D26" s="6" t="inlineStr">
        <is>
          <t>$</t>
        </is>
      </c>
    </row>
    <row r="27">
      <c r="A27" t="inlineStr">
        <is>
          <t>Futures DV01 implied by CTD ($/contract)</t>
        </is>
      </c>
      <c r="B27" s="18">
        <f>CTD_DV01/CTD_CF</f>
        <v/>
      </c>
      <c r="C27" s="6" t="inlineStr"/>
      <c r="D27" s="6" t="inlineStr">
        <is>
          <t>$/bp</t>
        </is>
      </c>
    </row>
    <row r="28">
      <c r="A28" t="inlineStr">
        <is>
          <t>1-day 99% parametric VaR, unhedged ($)</t>
        </is>
      </c>
      <c r="B28" s="15">
        <f>_xlfn.NORM.S.INV(0.99)*Sigma_bp*Position_DV01</f>
        <v/>
      </c>
      <c r="C28" s="6" t="inlineStr"/>
      <c r="D28" s="6" t="inlineStr">
        <is>
          <t>$</t>
        </is>
      </c>
    </row>
    <row r="30">
      <c r="A30" s="7" t="inlineStr">
        <is>
          <t>TREASURY EXAMPLE - Excel built-ins (bullet bond)</t>
        </is>
      </c>
      <c r="B30" s="9" t="n"/>
      <c r="C30" s="9" t="n"/>
      <c r="D30" s="9" t="n"/>
    </row>
    <row r="31">
      <c r="A31" t="inlineStr">
        <is>
          <t>Settlement date</t>
        </is>
      </c>
      <c r="B31" s="19">
        <f>DATE(2026,10,1)</f>
        <v/>
      </c>
      <c r="C31" s="6" t="inlineStr">
        <is>
          <t>Settle</t>
        </is>
      </c>
      <c r="D31" s="6" t="inlineStr">
        <is>
          <t>date</t>
        </is>
      </c>
    </row>
    <row r="32">
      <c r="A32" t="inlineStr">
        <is>
          <t>Maturity date</t>
        </is>
      </c>
      <c r="B32" s="19">
        <f>DATE(2036,8,15)</f>
        <v/>
      </c>
      <c r="C32" s="6" t="inlineStr">
        <is>
          <t>Maturity</t>
        </is>
      </c>
      <c r="D32" s="6" t="inlineStr">
        <is>
          <t>date</t>
        </is>
      </c>
    </row>
    <row r="33">
      <c r="A33" t="inlineStr">
        <is>
          <t>Coupon (decimal)</t>
        </is>
      </c>
      <c r="B33" s="20" t="n">
        <v>0.0425</v>
      </c>
      <c r="C33" s="6" t="inlineStr">
        <is>
          <t>Cpn</t>
        </is>
      </c>
      <c r="D33" s="6" t="inlineStr"/>
    </row>
    <row r="34">
      <c r="A34" t="inlineStr">
        <is>
          <t>Yield (decimal, semiannual)</t>
        </is>
      </c>
      <c r="B34" s="20" t="n">
        <v>0.042</v>
      </c>
      <c r="C34" s="6" t="inlineStr">
        <is>
          <t>Yld</t>
        </is>
      </c>
      <c r="D34" s="6" t="inlineStr"/>
    </row>
    <row r="35">
      <c r="A35" t="inlineStr">
        <is>
          <t>Yield change for P&amp;L check (decimal; 0.0001 = 1bp)</t>
        </is>
      </c>
      <c r="B35" s="21" t="n">
        <v>0.0001</v>
      </c>
      <c r="C35" s="6" t="inlineStr">
        <is>
          <t>DeltaY</t>
        </is>
      </c>
      <c r="D35" s="6" t="inlineStr"/>
    </row>
    <row r="36">
      <c r="A36" t="inlineStr">
        <is>
          <t>Price  =PRICE(Settle,Maturity,Cpn,Yld,100,2,1)</t>
        </is>
      </c>
      <c r="B36" s="22">
        <f>PRICE(Settle,Maturity,Cpn,Yld,100,2,1)</f>
        <v/>
      </c>
      <c r="C36" s="6" t="inlineStr">
        <is>
          <t>T_Price</t>
        </is>
      </c>
      <c r="D36" s="6" t="inlineStr">
        <is>
          <t>pts</t>
        </is>
      </c>
    </row>
    <row r="37">
      <c r="A37" t="inlineStr">
        <is>
          <t>Macaulay duration  =DURATION(...)</t>
        </is>
      </c>
      <c r="B37" s="22">
        <f>DURATION(Settle,Maturity,Cpn,Yld,2,1)</f>
        <v/>
      </c>
      <c r="C37" s="6" t="inlineStr">
        <is>
          <t>MacDur</t>
        </is>
      </c>
      <c r="D37" s="6" t="inlineStr">
        <is>
          <t>years</t>
        </is>
      </c>
    </row>
    <row r="38">
      <c r="A38" t="inlineStr">
        <is>
          <t>Modified duration  =MDURATION(...)</t>
        </is>
      </c>
      <c r="B38" s="22">
        <f>MDURATION(Settle,Maturity,Cpn,Yld,2,1)</f>
        <v/>
      </c>
      <c r="C38" s="6" t="inlineStr">
        <is>
          <t>ModDur</t>
        </is>
      </c>
      <c r="D38" s="6" t="inlineStr">
        <is>
          <t>years</t>
        </is>
      </c>
    </row>
    <row r="39">
      <c r="A39" t="inlineStr">
        <is>
          <t>Modified duration check  =MacDur/(1+Yld/2)</t>
        </is>
      </c>
      <c r="B39" s="22">
        <f>MacDur/(1+Yld/2)</f>
        <v/>
      </c>
      <c r="C39" s="6" t="inlineStr"/>
      <c r="D39" s="6" t="inlineStr">
        <is>
          <t>years</t>
        </is>
      </c>
    </row>
    <row r="40">
      <c r="A40" t="inlineStr">
        <is>
          <t>Price change estimate  =-ModDur*T_Price*DeltaY</t>
        </is>
      </c>
      <c r="B40" s="23">
        <f>-ModDur*T_Price*DeltaY</f>
        <v/>
      </c>
      <c r="C40" s="6" t="inlineStr"/>
      <c r="D40" s="6" t="inlineStr">
        <is>
          <t>pts</t>
        </is>
      </c>
    </row>
    <row r="41">
      <c r="A41" t="inlineStr">
        <is>
          <t>Actual price change  =PRICE(at Yld+DeltaY)-T_Price</t>
        </is>
      </c>
      <c r="B41" s="23">
        <f>PRICE(Settle,Maturity,Cpn,Yld+DeltaY,100,2,1)-T_Price</f>
        <v/>
      </c>
      <c r="C41" s="6" t="inlineStr"/>
      <c r="D41" s="6" t="inlineStr">
        <is>
          <t>pts</t>
        </is>
      </c>
    </row>
    <row r="42">
      <c r="A42" t="inlineStr">
        <is>
          <t>Yield back from price  =YIELD(...)</t>
        </is>
      </c>
      <c r="B42" s="24">
        <f>YIELD(Settle,Maturity,Cpn,T_Price,100,2,1)</f>
        <v/>
      </c>
      <c r="C42" s="6" t="inlineStr"/>
      <c r="D42" s="6" t="inlineStr"/>
    </row>
    <row r="44">
      <c r="A44" s="7" t="inlineStr">
        <is>
          <t>SCENARIO GRID - % and $ change: -D*dy + 0.5*C*dy^2 (Treasury: D=8, C=+80 illustrative)</t>
        </is>
      </c>
      <c r="B44" s="9" t="n"/>
      <c r="C44" s="9" t="n"/>
      <c r="D44" s="9" t="n"/>
      <c r="E44" s="9" t="n"/>
      <c r="F44" s="9" t="n"/>
    </row>
    <row r="45">
      <c r="A45" t="inlineStr">
        <is>
          <t>Treasury duration for grid</t>
        </is>
      </c>
      <c r="B45" s="12" t="n">
        <v>8</v>
      </c>
      <c r="C45" s="6" t="inlineStr">
        <is>
          <t>T_Dur</t>
        </is>
      </c>
      <c r="D45" s="6" t="inlineStr">
        <is>
          <t>years</t>
        </is>
      </c>
    </row>
    <row r="46">
      <c r="A46" t="inlineStr">
        <is>
          <t>Treasury convexity for grid</t>
        </is>
      </c>
      <c r="B46" s="12" t="n">
        <v>80</v>
      </c>
      <c r="C46" s="6" t="inlineStr">
        <is>
          <t>T_Conv</t>
        </is>
      </c>
      <c r="D46" s="6" t="inlineStr"/>
    </row>
    <row r="48">
      <c r="A48" s="3" t="inlineStr">
        <is>
          <t>Shock (decimal)</t>
        </is>
      </c>
      <c r="B48" s="3" t="inlineStr">
        <is>
          <t>Shock (bp)</t>
        </is>
      </c>
      <c r="C48" s="3" t="inlineStr">
        <is>
          <t>Mortgage % chg</t>
        </is>
      </c>
      <c r="D48" s="3" t="inlineStr">
        <is>
          <t>Mortgage $ P&amp;L</t>
        </is>
      </c>
      <c r="E48" s="3" t="inlineStr">
        <is>
          <t>Treasury % chg</t>
        </is>
      </c>
      <c r="F48" s="3" t="inlineStr">
        <is>
          <t>Mortgage price</t>
        </is>
      </c>
    </row>
    <row r="49">
      <c r="A49" s="25" t="n">
        <v>-0.01</v>
      </c>
      <c r="B49" s="26">
        <f>A49*10000</f>
        <v/>
      </c>
      <c r="C49" s="27">
        <f>-EffDur*A49+0.5*Convexity*A49^2</f>
        <v/>
      </c>
      <c r="D49" s="28">
        <f>MV*C49</f>
        <v/>
      </c>
      <c r="E49" s="27">
        <f>-T_Dur*A49+0.5*T_Conv*A49^2</f>
        <v/>
      </c>
      <c r="F49" s="29">
        <f>Price*(1+C49)</f>
        <v/>
      </c>
    </row>
    <row r="50">
      <c r="A50" s="25" t="n">
        <v>-0.0075</v>
      </c>
      <c r="B50" s="26">
        <f>A50*10000</f>
        <v/>
      </c>
      <c r="C50" s="27">
        <f>-EffDur*A50+0.5*Convexity*A50^2</f>
        <v/>
      </c>
      <c r="D50" s="28">
        <f>MV*C50</f>
        <v/>
      </c>
      <c r="E50" s="27">
        <f>-T_Dur*A50+0.5*T_Conv*A50^2</f>
        <v/>
      </c>
      <c r="F50" s="29">
        <f>Price*(1+C50)</f>
        <v/>
      </c>
    </row>
    <row r="51">
      <c r="A51" s="25" t="n">
        <v>-0.005</v>
      </c>
      <c r="B51" s="26">
        <f>A51*10000</f>
        <v/>
      </c>
      <c r="C51" s="27">
        <f>-EffDur*A51+0.5*Convexity*A51^2</f>
        <v/>
      </c>
      <c r="D51" s="28">
        <f>MV*C51</f>
        <v/>
      </c>
      <c r="E51" s="27">
        <f>-T_Dur*A51+0.5*T_Conv*A51^2</f>
        <v/>
      </c>
      <c r="F51" s="29">
        <f>Price*(1+C51)</f>
        <v/>
      </c>
    </row>
    <row r="52">
      <c r="A52" s="25" t="n">
        <v>-0.0025</v>
      </c>
      <c r="B52" s="26">
        <f>A52*10000</f>
        <v/>
      </c>
      <c r="C52" s="27">
        <f>-EffDur*A52+0.5*Convexity*A52^2</f>
        <v/>
      </c>
      <c r="D52" s="28">
        <f>MV*C52</f>
        <v/>
      </c>
      <c r="E52" s="27">
        <f>-T_Dur*A52+0.5*T_Conv*A52^2</f>
        <v/>
      </c>
      <c r="F52" s="29">
        <f>Price*(1+C52)</f>
        <v/>
      </c>
    </row>
    <row r="53">
      <c r="A53" s="25" t="n">
        <v>0</v>
      </c>
      <c r="B53" s="26">
        <f>A53*10000</f>
        <v/>
      </c>
      <c r="C53" s="27">
        <f>-EffDur*A53+0.5*Convexity*A53^2</f>
        <v/>
      </c>
      <c r="D53" s="28">
        <f>MV*C53</f>
        <v/>
      </c>
      <c r="E53" s="27">
        <f>-T_Dur*A53+0.5*T_Conv*A53^2</f>
        <v/>
      </c>
      <c r="F53" s="29">
        <f>Price*(1+C53)</f>
        <v/>
      </c>
    </row>
    <row r="54">
      <c r="A54" s="25" t="n">
        <v>0.0025</v>
      </c>
      <c r="B54" s="26">
        <f>A54*10000</f>
        <v/>
      </c>
      <c r="C54" s="27">
        <f>-EffDur*A54+0.5*Convexity*A54^2</f>
        <v/>
      </c>
      <c r="D54" s="28">
        <f>MV*C54</f>
        <v/>
      </c>
      <c r="E54" s="27">
        <f>-T_Dur*A54+0.5*T_Conv*A54^2</f>
        <v/>
      </c>
      <c r="F54" s="29">
        <f>Price*(1+C54)</f>
        <v/>
      </c>
    </row>
    <row r="55">
      <c r="A55" s="25" t="n">
        <v>0.005</v>
      </c>
      <c r="B55" s="26">
        <f>A55*10000</f>
        <v/>
      </c>
      <c r="C55" s="27">
        <f>-EffDur*A55+0.5*Convexity*A55^2</f>
        <v/>
      </c>
      <c r="D55" s="28">
        <f>MV*C55</f>
        <v/>
      </c>
      <c r="E55" s="27">
        <f>-T_Dur*A55+0.5*T_Conv*A55^2</f>
        <v/>
      </c>
      <c r="F55" s="29">
        <f>Price*(1+C55)</f>
        <v/>
      </c>
    </row>
    <row r="56">
      <c r="A56" s="25" t="n">
        <v>0.0075</v>
      </c>
      <c r="B56" s="26">
        <f>A56*10000</f>
        <v/>
      </c>
      <c r="C56" s="27">
        <f>-EffDur*A56+0.5*Convexity*A56^2</f>
        <v/>
      </c>
      <c r="D56" s="28">
        <f>MV*C56</f>
        <v/>
      </c>
      <c r="E56" s="27">
        <f>-T_Dur*A56+0.5*T_Conv*A56^2</f>
        <v/>
      </c>
      <c r="F56" s="29">
        <f>Price*(1+C56)</f>
        <v/>
      </c>
    </row>
    <row r="57">
      <c r="A57" s="25" t="n">
        <v>0.01</v>
      </c>
      <c r="B57" s="26">
        <f>A57*10000</f>
        <v/>
      </c>
      <c r="C57" s="27">
        <f>-EffDur*A57+0.5*Convexity*A57^2</f>
        <v/>
      </c>
      <c r="D57" s="28">
        <f>MV*C57</f>
        <v/>
      </c>
      <c r="E57" s="27">
        <f>-T_Dur*A57+0.5*T_Conv*A57^2</f>
        <v/>
      </c>
      <c r="F57" s="29">
        <f>Price*(1+C57)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Effective duration and convexity by bumping yields</t>
        </is>
      </c>
    </row>
    <row r="2">
      <c r="A2" s="6" t="inlineStr">
        <is>
          <t>EffDur = (P_dn - P_up)/(2*P_0*Bump); Convexity = (P_dn + P_up - 2*P_0)/(P_0*Bump^2)</t>
        </is>
      </c>
    </row>
    <row r="3">
      <c r="A3" s="8" t="inlineStr">
        <is>
          <t>ILLUSTRATIVE INPUTS - Example numbers, not market data. Yellow cells with blue font are inputs; everything else is a formula.</t>
        </is>
      </c>
    </row>
    <row r="5">
      <c r="A5" s="7" t="inlineStr">
        <is>
          <t>TREASURY - re-priced live with PRICE() (uses Settle, Maturity, Cpn, Yld from Duration_DV01_Hedge)</t>
        </is>
      </c>
      <c r="B5" s="9" t="n"/>
      <c r="C5" s="9" t="n"/>
      <c r="D5" s="9" t="n"/>
    </row>
    <row r="6">
      <c r="A6" t="inlineStr">
        <is>
          <t>Bump (decimal; 0.0025 = 25bp)</t>
        </is>
      </c>
      <c r="B6" s="11" t="n">
        <v>0.0025</v>
      </c>
      <c r="C6" s="6" t="inlineStr">
        <is>
          <t>Bump</t>
        </is>
      </c>
      <c r="D6" s="6" t="inlineStr"/>
    </row>
    <row r="7">
      <c r="A7" t="inlineStr">
        <is>
          <t>Base price  =PRICE(...,Yld,...)</t>
        </is>
      </c>
      <c r="B7" s="22">
        <f>PRICE(Settle,Maturity,Cpn,Yld,100,2,1)</f>
        <v/>
      </c>
      <c r="C7" s="6" t="inlineStr">
        <is>
          <t>T_P0</t>
        </is>
      </c>
      <c r="D7" s="6" t="inlineStr">
        <is>
          <t>pts</t>
        </is>
      </c>
    </row>
    <row r="8">
      <c r="A8" t="inlineStr">
        <is>
          <t>Price, yield down  =PRICE(...,Yld-Bump,...)</t>
        </is>
      </c>
      <c r="B8" s="22">
        <f>PRICE(Settle,Maturity,Cpn,Yld-Bump,100,2,1)</f>
        <v/>
      </c>
      <c r="C8" s="6" t="inlineStr">
        <is>
          <t>T_P_dn</t>
        </is>
      </c>
      <c r="D8" s="6" t="inlineStr">
        <is>
          <t>pts</t>
        </is>
      </c>
    </row>
    <row r="9">
      <c r="A9" t="inlineStr">
        <is>
          <t>Price, yield up  =PRICE(...,Yld+Bump,...)</t>
        </is>
      </c>
      <c r="B9" s="22">
        <f>PRICE(Settle,Maturity,Cpn,Yld+Bump,100,2,1)</f>
        <v/>
      </c>
      <c r="C9" s="6" t="inlineStr">
        <is>
          <t>T_P_up</t>
        </is>
      </c>
      <c r="D9" s="6" t="inlineStr">
        <is>
          <t>pts</t>
        </is>
      </c>
    </row>
    <row r="10">
      <c r="A10" t="inlineStr">
        <is>
          <t>Effective duration</t>
        </is>
      </c>
      <c r="B10" s="22">
        <f>(T_P_dn-T_P_up)/(2*T_P0*Bump)</f>
        <v/>
      </c>
      <c r="C10" s="6" t="inlineStr"/>
      <c r="D10" s="6" t="inlineStr">
        <is>
          <t>years</t>
        </is>
      </c>
    </row>
    <row r="11">
      <c r="A11" t="inlineStr">
        <is>
          <t>Compare: MDURATION (should be close)</t>
        </is>
      </c>
      <c r="B11" s="22">
        <f>MDURATION(Settle,Maturity,Cpn,Yld,2,1)</f>
        <v/>
      </c>
      <c r="C11" s="6" t="inlineStr"/>
      <c r="D11" s="6" t="inlineStr">
        <is>
          <t>years</t>
        </is>
      </c>
    </row>
    <row r="12">
      <c r="A12" t="inlineStr">
        <is>
          <t>Effective convexity (positive)</t>
        </is>
      </c>
      <c r="B12" s="16">
        <f>(T_P_dn+T_P_up-2*T_P0)/(T_P0*Bump^2)</f>
        <v/>
      </c>
      <c r="C12" s="6" t="inlineStr"/>
      <c r="D12" s="6" t="inlineStr">
        <is>
          <t>years^2</t>
        </is>
      </c>
    </row>
    <row r="14">
      <c r="A14" s="7" t="inlineStr">
        <is>
          <t>MORTGAGE - enter model prices at base and +/- Bump (from a prepay model / vendor)</t>
        </is>
      </c>
      <c r="B14" s="9" t="n"/>
      <c r="C14" s="9" t="n"/>
      <c r="D14" s="9" t="n"/>
    </row>
    <row r="15">
      <c r="A15" t="inlineStr">
        <is>
          <t>Base price P_0</t>
        </is>
      </c>
      <c r="B15" s="11" t="n">
        <v>98</v>
      </c>
      <c r="C15" s="6" t="inlineStr">
        <is>
          <t>P_0</t>
        </is>
      </c>
      <c r="D15" s="6" t="inlineStr">
        <is>
          <t>pts</t>
        </is>
      </c>
    </row>
    <row r="16">
      <c r="A16" t="inlineStr">
        <is>
          <t>Price with yields down Bump (faster prepays), P_dn</t>
        </is>
      </c>
      <c r="B16" s="11" t="n">
        <v>99.25</v>
      </c>
      <c r="C16" s="6" t="inlineStr">
        <is>
          <t>P_dn</t>
        </is>
      </c>
      <c r="D16" s="6" t="inlineStr">
        <is>
          <t>pts</t>
        </is>
      </c>
    </row>
    <row r="17">
      <c r="A17" t="inlineStr">
        <is>
          <t>Price with yields up Bump (slower prepays), P_up</t>
        </is>
      </c>
      <c r="B17" s="11" t="n">
        <v>96.7</v>
      </c>
      <c r="C17" s="6" t="inlineStr">
        <is>
          <t>P_up</t>
        </is>
      </c>
      <c r="D17" s="6" t="inlineStr">
        <is>
          <t>pts</t>
        </is>
      </c>
    </row>
    <row r="18">
      <c r="A18" t="inlineStr">
        <is>
          <t>Effective duration</t>
        </is>
      </c>
      <c r="B18" s="22">
        <f>(P_dn-P_up)/(2*P_0*Bump)</f>
        <v/>
      </c>
      <c r="C18" s="6" t="inlineStr">
        <is>
          <t>Mtg_EffDur</t>
        </is>
      </c>
      <c r="D18" s="6" t="inlineStr">
        <is>
          <t>years</t>
        </is>
      </c>
    </row>
    <row r="19">
      <c r="A19" t="inlineStr">
        <is>
          <t>Effective convexity (negative)</t>
        </is>
      </c>
      <c r="B19" s="16">
        <f>(P_dn+P_up-2*P_0)/(P_0*Bump^2)</f>
        <v/>
      </c>
      <c r="C19" s="6" t="inlineStr">
        <is>
          <t>Mtg_Conv</t>
        </is>
      </c>
      <c r="D19" s="6" t="inlineStr">
        <is>
          <t>years^2</t>
        </is>
      </c>
    </row>
    <row r="20">
      <c r="A20" t="inlineStr">
        <is>
          <t>Est. % change, yields -100bp</t>
        </is>
      </c>
      <c r="B20" s="30">
        <f>-Mtg_EffDur*(-0.01)+0.5*Mtg_Conv*0.01^2</f>
        <v/>
      </c>
      <c r="C20" s="6" t="inlineStr"/>
      <c r="D20" s="6" t="inlineStr"/>
    </row>
    <row r="21">
      <c r="A21" t="inlineStr">
        <is>
          <t>Est. % change, yields +100bp</t>
        </is>
      </c>
      <c r="B21" s="30">
        <f>-Mtg_EffDur*(0.01)+0.5*Mtg_Conv*0.01^2</f>
        <v/>
      </c>
      <c r="C21" s="6" t="inlineStr"/>
      <c r="D21" s="6" t="inlineStr"/>
    </row>
    <row r="22">
      <c r="A22" t="inlineStr">
        <is>
          <t>Asymmetry (gain minus loss magnitude)</t>
        </is>
      </c>
      <c r="B22" s="30">
        <f>B20+B21</f>
        <v/>
      </c>
      <c r="C22" s="6" t="inlineStr"/>
      <c r="D22" s="6" t="inlineStr"/>
    </row>
    <row r="24">
      <c r="A24" s="6" t="inlineStr">
        <is>
          <t>Note: bumping only the discount yield with an unchanged CPR gives a static duration. Effective duration needs the cash flows re-run at faster (down) and slower (up) prepay speeds.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</cols>
  <sheetData>
    <row r="1">
      <c r="A1" s="1" t="inlineStr">
        <is>
          <t>Prepayment conversions: SMM, CPR, PSA, CDR, penalties</t>
        </is>
      </c>
    </row>
    <row r="2">
      <c r="A2" s="6" t="inlineStr">
        <is>
          <t>SMM = 1-(1-CPR)^(1/12); CPR = 1-(1-SMM)^12; PSA CPR = PSA/100*6%*MIN(age,30)/30</t>
        </is>
      </c>
    </row>
    <row r="3">
      <c r="A3" s="8" t="inlineStr">
        <is>
          <t>ILLUSTRATIVE INPUTS - Example numbers, not market data. Yellow cells with blue font are inputs; everything else is a formula.</t>
        </is>
      </c>
    </row>
    <row r="5">
      <c r="A5" s="7" t="inlineStr">
        <is>
          <t>INPUTS</t>
        </is>
      </c>
      <c r="B5" s="9" t="n"/>
      <c r="C5" s="9" t="n"/>
      <c r="D5" s="9" t="n"/>
    </row>
    <row r="6">
      <c r="A6" t="inlineStr">
        <is>
          <t>CPR (annual, decimal)</t>
        </is>
      </c>
      <c r="B6" s="14" t="n">
        <v>0.12</v>
      </c>
      <c r="C6" s="6" t="inlineStr">
        <is>
          <t>PP_CPR</t>
        </is>
      </c>
      <c r="D6" s="6" t="inlineStr"/>
    </row>
    <row r="7">
      <c r="A7" t="inlineStr">
        <is>
          <t>SMM (monthly, decimal)</t>
        </is>
      </c>
      <c r="B7" s="20" t="n">
        <v>0.01</v>
      </c>
      <c r="C7" s="6" t="inlineStr">
        <is>
          <t>PP_SMM</t>
        </is>
      </c>
      <c r="D7" s="6" t="inlineStr"/>
    </row>
    <row r="8">
      <c r="A8" t="inlineStr">
        <is>
          <t>PSA speed</t>
        </is>
      </c>
      <c r="B8" s="31" t="n">
        <v>150</v>
      </c>
      <c r="C8" s="6" t="inlineStr">
        <is>
          <t>PP_PSA</t>
        </is>
      </c>
      <c r="D8" s="6" t="inlineStr">
        <is>
          <t>% PSA</t>
        </is>
      </c>
    </row>
    <row r="9">
      <c r="A9" t="inlineStr">
        <is>
          <t>Loan age (months)</t>
        </is>
      </c>
      <c r="B9" s="31" t="n">
        <v>10</v>
      </c>
      <c r="C9" s="6" t="inlineStr">
        <is>
          <t>PP_Age</t>
        </is>
      </c>
      <c r="D9" s="6" t="inlineStr">
        <is>
          <t>months</t>
        </is>
      </c>
    </row>
    <row r="10">
      <c r="A10" t="inlineStr">
        <is>
          <t>CDR (annual, decimal)</t>
        </is>
      </c>
      <c r="B10" s="14" t="n">
        <v>0.02</v>
      </c>
      <c r="C10" s="6" t="inlineStr">
        <is>
          <t>PP_CDR</t>
        </is>
      </c>
      <c r="D10" s="6" t="inlineStr"/>
    </row>
    <row r="12">
      <c r="A12" s="7" t="inlineStr">
        <is>
          <t>OUTPUTS</t>
        </is>
      </c>
      <c r="B12" s="9" t="n"/>
      <c r="C12" s="9" t="n"/>
      <c r="D12" s="9" t="n"/>
    </row>
    <row r="13">
      <c r="A13" t="inlineStr">
        <is>
          <t>SMM from CPR  =1-(1-PP_CPR)^(1/12)</t>
        </is>
      </c>
      <c r="B13" s="24">
        <f>1-(1-PP_CPR)^(1/12)</f>
        <v/>
      </c>
      <c r="C13" s="6" t="inlineStr"/>
      <c r="D13" s="6" t="inlineStr"/>
    </row>
    <row r="14">
      <c r="A14" t="inlineStr">
        <is>
          <t>CPR from SMM  =1-(1-PP_SMM)^12</t>
        </is>
      </c>
      <c r="B14" s="24">
        <f>1-(1-PP_SMM)^12</f>
        <v/>
      </c>
      <c r="C14" s="6" t="inlineStr"/>
      <c r="D14" s="6" t="inlineStr"/>
    </row>
    <row r="15">
      <c r="A15" t="inlineStr">
        <is>
          <t>CPR at PSA and age  =PP_PSA/100*0.06*MIN(PP_Age,30)/30</t>
        </is>
      </c>
      <c r="B15" s="24">
        <f>PP_PSA/100*0.06*MIN(PP_Age,30)/30</f>
        <v/>
      </c>
      <c r="C15" s="6" t="inlineStr"/>
      <c r="D15" s="6" t="inlineStr"/>
    </row>
    <row r="16">
      <c r="A16" t="inlineStr">
        <is>
          <t>SMM at that PSA</t>
        </is>
      </c>
      <c r="B16" s="24">
        <f>1-(1-B15)^(1/12)</f>
        <v/>
      </c>
      <c r="C16" s="6" t="inlineStr"/>
      <c r="D16" s="6" t="inlineStr"/>
    </row>
    <row r="17">
      <c r="A17" t="inlineStr">
        <is>
          <t>MDR from CDR  =1-(1-PP_CDR)^(1/12)</t>
        </is>
      </c>
      <c r="B17" s="24">
        <f>1-(1-PP_CDR)^(1/12)</f>
        <v/>
      </c>
      <c r="C17" s="6" t="inlineStr"/>
      <c r="D17" s="6" t="inlineStr"/>
    </row>
    <row r="19">
      <c r="A19" s="7" t="inlineStr">
        <is>
          <t>PREPAYMENT PENALTY (step-down 5-4-3-2-1, % of amount prepaid)</t>
        </is>
      </c>
      <c r="B19" s="9" t="n"/>
      <c r="C19" s="9" t="n"/>
      <c r="D19" s="9" t="n"/>
    </row>
    <row r="20">
      <c r="A20" t="inlineStr">
        <is>
          <t>Penalty schedule by loan year (years 1-5)</t>
        </is>
      </c>
      <c r="B20" s="32" t="n">
        <v>0.05</v>
      </c>
      <c r="C20" s="32" t="n">
        <v>0.04</v>
      </c>
      <c r="D20" s="32" t="n">
        <v>0.03</v>
      </c>
      <c r="E20" s="32" t="n">
        <v>0.02</v>
      </c>
      <c r="F20" s="32" t="n">
        <v>0.01</v>
      </c>
    </row>
    <row r="21">
      <c r="A21" t="inlineStr">
        <is>
          <t>Amount prepaid ($)</t>
        </is>
      </c>
      <c r="B21" s="10" t="n">
        <v>400000</v>
      </c>
      <c r="C21" s="6" t="inlineStr">
        <is>
          <t>PrepayAmt</t>
        </is>
      </c>
      <c r="D21" s="6" t="inlineStr">
        <is>
          <t>$</t>
        </is>
      </c>
    </row>
    <row r="22">
      <c r="A22" t="inlineStr">
        <is>
          <t>Loan age at payoff (months)</t>
        </is>
      </c>
      <c r="B22" s="31" t="n">
        <v>18</v>
      </c>
      <c r="C22" s="6" t="inlineStr">
        <is>
          <t>AgeMo</t>
        </is>
      </c>
      <c r="D22" s="6" t="inlineStr">
        <is>
          <t>months</t>
        </is>
      </c>
    </row>
    <row r="23">
      <c r="A23" t="inlineStr">
        <is>
          <t>Penalty ($)</t>
        </is>
      </c>
      <c r="B23" s="15">
        <f>IF(AgeMo&gt;=60,0,PrepayAmt*INDEX(PenaltySched,INT(AgeMo/12)+1))</f>
        <v/>
      </c>
      <c r="C23" s="6" t="inlineStr"/>
      <c r="D23" s="6" t="inlineStr">
        <is>
          <t>$</t>
        </is>
      </c>
    </row>
    <row r="25">
      <c r="A25" s="7" t="inlineStr">
        <is>
          <t>PSA RAMP TABLE (months 1-60) at PP_PSA</t>
        </is>
      </c>
      <c r="B25" s="9" t="n"/>
      <c r="C25" s="9" t="n"/>
      <c r="D25" s="9" t="n"/>
    </row>
    <row r="26">
      <c r="A26" s="3" t="inlineStr">
        <is>
          <t>Month</t>
        </is>
      </c>
      <c r="B26" s="3" t="inlineStr">
        <is>
          <t>CPR</t>
        </is>
      </c>
      <c r="C26" s="3" t="inlineStr">
        <is>
          <t>SMM</t>
        </is>
      </c>
      <c r="D26" s="3" t="inlineStr">
        <is>
          <t>100 PSA CPR</t>
        </is>
      </c>
    </row>
    <row r="27">
      <c r="A27" t="n">
        <v>1</v>
      </c>
      <c r="B27" s="27">
        <f>PP_PSA/100*0.06*MIN(A27,30)/30</f>
        <v/>
      </c>
      <c r="C27" s="33">
        <f>1-(1-B27)^(1/12)</f>
        <v/>
      </c>
      <c r="D27" s="27">
        <f>0.06*MIN(A27,30)/30</f>
        <v/>
      </c>
    </row>
    <row r="28">
      <c r="A28" t="n">
        <v>2</v>
      </c>
      <c r="B28" s="27">
        <f>PP_PSA/100*0.06*MIN(A28,30)/30</f>
        <v/>
      </c>
      <c r="C28" s="33">
        <f>1-(1-B28)^(1/12)</f>
        <v/>
      </c>
      <c r="D28" s="27">
        <f>0.06*MIN(A28,30)/30</f>
        <v/>
      </c>
    </row>
    <row r="29">
      <c r="A29" t="n">
        <v>3</v>
      </c>
      <c r="B29" s="27">
        <f>PP_PSA/100*0.06*MIN(A29,30)/30</f>
        <v/>
      </c>
      <c r="C29" s="33">
        <f>1-(1-B29)^(1/12)</f>
        <v/>
      </c>
      <c r="D29" s="27">
        <f>0.06*MIN(A29,30)/30</f>
        <v/>
      </c>
    </row>
    <row r="30">
      <c r="A30" t="n">
        <v>4</v>
      </c>
      <c r="B30" s="27">
        <f>PP_PSA/100*0.06*MIN(A30,30)/30</f>
        <v/>
      </c>
      <c r="C30" s="33">
        <f>1-(1-B30)^(1/12)</f>
        <v/>
      </c>
      <c r="D30" s="27">
        <f>0.06*MIN(A30,30)/30</f>
        <v/>
      </c>
    </row>
    <row r="31">
      <c r="A31" t="n">
        <v>5</v>
      </c>
      <c r="B31" s="27">
        <f>PP_PSA/100*0.06*MIN(A31,30)/30</f>
        <v/>
      </c>
      <c r="C31" s="33">
        <f>1-(1-B31)^(1/12)</f>
        <v/>
      </c>
      <c r="D31" s="27">
        <f>0.06*MIN(A31,30)/30</f>
        <v/>
      </c>
    </row>
    <row r="32">
      <c r="A32" t="n">
        <v>6</v>
      </c>
      <c r="B32" s="27">
        <f>PP_PSA/100*0.06*MIN(A32,30)/30</f>
        <v/>
      </c>
      <c r="C32" s="33">
        <f>1-(1-B32)^(1/12)</f>
        <v/>
      </c>
      <c r="D32" s="27">
        <f>0.06*MIN(A32,30)/30</f>
        <v/>
      </c>
    </row>
    <row r="33">
      <c r="A33" t="n">
        <v>7</v>
      </c>
      <c r="B33" s="27">
        <f>PP_PSA/100*0.06*MIN(A33,30)/30</f>
        <v/>
      </c>
      <c r="C33" s="33">
        <f>1-(1-B33)^(1/12)</f>
        <v/>
      </c>
      <c r="D33" s="27">
        <f>0.06*MIN(A33,30)/30</f>
        <v/>
      </c>
    </row>
    <row r="34">
      <c r="A34" t="n">
        <v>8</v>
      </c>
      <c r="B34" s="27">
        <f>PP_PSA/100*0.06*MIN(A34,30)/30</f>
        <v/>
      </c>
      <c r="C34" s="33">
        <f>1-(1-B34)^(1/12)</f>
        <v/>
      </c>
      <c r="D34" s="27">
        <f>0.06*MIN(A34,30)/30</f>
        <v/>
      </c>
    </row>
    <row r="35">
      <c r="A35" t="n">
        <v>9</v>
      </c>
      <c r="B35" s="27">
        <f>PP_PSA/100*0.06*MIN(A35,30)/30</f>
        <v/>
      </c>
      <c r="C35" s="33">
        <f>1-(1-B35)^(1/12)</f>
        <v/>
      </c>
      <c r="D35" s="27">
        <f>0.06*MIN(A35,30)/30</f>
        <v/>
      </c>
    </row>
    <row r="36">
      <c r="A36" t="n">
        <v>10</v>
      </c>
      <c r="B36" s="27">
        <f>PP_PSA/100*0.06*MIN(A36,30)/30</f>
        <v/>
      </c>
      <c r="C36" s="33">
        <f>1-(1-B36)^(1/12)</f>
        <v/>
      </c>
      <c r="D36" s="27">
        <f>0.06*MIN(A36,30)/30</f>
        <v/>
      </c>
    </row>
    <row r="37">
      <c r="A37" t="n">
        <v>11</v>
      </c>
      <c r="B37" s="27">
        <f>PP_PSA/100*0.06*MIN(A37,30)/30</f>
        <v/>
      </c>
      <c r="C37" s="33">
        <f>1-(1-B37)^(1/12)</f>
        <v/>
      </c>
      <c r="D37" s="27">
        <f>0.06*MIN(A37,30)/30</f>
        <v/>
      </c>
    </row>
    <row r="38">
      <c r="A38" t="n">
        <v>12</v>
      </c>
      <c r="B38" s="27">
        <f>PP_PSA/100*0.06*MIN(A38,30)/30</f>
        <v/>
      </c>
      <c r="C38" s="33">
        <f>1-(1-B38)^(1/12)</f>
        <v/>
      </c>
      <c r="D38" s="27">
        <f>0.06*MIN(A38,30)/30</f>
        <v/>
      </c>
    </row>
    <row r="39">
      <c r="A39" t="n">
        <v>13</v>
      </c>
      <c r="B39" s="27">
        <f>PP_PSA/100*0.06*MIN(A39,30)/30</f>
        <v/>
      </c>
      <c r="C39" s="33">
        <f>1-(1-B39)^(1/12)</f>
        <v/>
      </c>
      <c r="D39" s="27">
        <f>0.06*MIN(A39,30)/30</f>
        <v/>
      </c>
    </row>
    <row r="40">
      <c r="A40" t="n">
        <v>14</v>
      </c>
      <c r="B40" s="27">
        <f>PP_PSA/100*0.06*MIN(A40,30)/30</f>
        <v/>
      </c>
      <c r="C40" s="33">
        <f>1-(1-B40)^(1/12)</f>
        <v/>
      </c>
      <c r="D40" s="27">
        <f>0.06*MIN(A40,30)/30</f>
        <v/>
      </c>
    </row>
    <row r="41">
      <c r="A41" t="n">
        <v>15</v>
      </c>
      <c r="B41" s="27">
        <f>PP_PSA/100*0.06*MIN(A41,30)/30</f>
        <v/>
      </c>
      <c r="C41" s="33">
        <f>1-(1-B41)^(1/12)</f>
        <v/>
      </c>
      <c r="D41" s="27">
        <f>0.06*MIN(A41,30)/30</f>
        <v/>
      </c>
    </row>
    <row r="42">
      <c r="A42" t="n">
        <v>16</v>
      </c>
      <c r="B42" s="27">
        <f>PP_PSA/100*0.06*MIN(A42,30)/30</f>
        <v/>
      </c>
      <c r="C42" s="33">
        <f>1-(1-B42)^(1/12)</f>
        <v/>
      </c>
      <c r="D42" s="27">
        <f>0.06*MIN(A42,30)/30</f>
        <v/>
      </c>
    </row>
    <row r="43">
      <c r="A43" t="n">
        <v>17</v>
      </c>
      <c r="B43" s="27">
        <f>PP_PSA/100*0.06*MIN(A43,30)/30</f>
        <v/>
      </c>
      <c r="C43" s="33">
        <f>1-(1-B43)^(1/12)</f>
        <v/>
      </c>
      <c r="D43" s="27">
        <f>0.06*MIN(A43,30)/30</f>
        <v/>
      </c>
    </row>
    <row r="44">
      <c r="A44" t="n">
        <v>18</v>
      </c>
      <c r="B44" s="27">
        <f>PP_PSA/100*0.06*MIN(A44,30)/30</f>
        <v/>
      </c>
      <c r="C44" s="33">
        <f>1-(1-B44)^(1/12)</f>
        <v/>
      </c>
      <c r="D44" s="27">
        <f>0.06*MIN(A44,30)/30</f>
        <v/>
      </c>
    </row>
    <row r="45">
      <c r="A45" t="n">
        <v>19</v>
      </c>
      <c r="B45" s="27">
        <f>PP_PSA/100*0.06*MIN(A45,30)/30</f>
        <v/>
      </c>
      <c r="C45" s="33">
        <f>1-(1-B45)^(1/12)</f>
        <v/>
      </c>
      <c r="D45" s="27">
        <f>0.06*MIN(A45,30)/30</f>
        <v/>
      </c>
    </row>
    <row r="46">
      <c r="A46" t="n">
        <v>20</v>
      </c>
      <c r="B46" s="27">
        <f>PP_PSA/100*0.06*MIN(A46,30)/30</f>
        <v/>
      </c>
      <c r="C46" s="33">
        <f>1-(1-B46)^(1/12)</f>
        <v/>
      </c>
      <c r="D46" s="27">
        <f>0.06*MIN(A46,30)/30</f>
        <v/>
      </c>
    </row>
    <row r="47">
      <c r="A47" t="n">
        <v>21</v>
      </c>
      <c r="B47" s="27">
        <f>PP_PSA/100*0.06*MIN(A47,30)/30</f>
        <v/>
      </c>
      <c r="C47" s="33">
        <f>1-(1-B47)^(1/12)</f>
        <v/>
      </c>
      <c r="D47" s="27">
        <f>0.06*MIN(A47,30)/30</f>
        <v/>
      </c>
    </row>
    <row r="48">
      <c r="A48" t="n">
        <v>22</v>
      </c>
      <c r="B48" s="27">
        <f>PP_PSA/100*0.06*MIN(A48,30)/30</f>
        <v/>
      </c>
      <c r="C48" s="33">
        <f>1-(1-B48)^(1/12)</f>
        <v/>
      </c>
      <c r="D48" s="27">
        <f>0.06*MIN(A48,30)/30</f>
        <v/>
      </c>
    </row>
    <row r="49">
      <c r="A49" t="n">
        <v>23</v>
      </c>
      <c r="B49" s="27">
        <f>PP_PSA/100*0.06*MIN(A49,30)/30</f>
        <v/>
      </c>
      <c r="C49" s="33">
        <f>1-(1-B49)^(1/12)</f>
        <v/>
      </c>
      <c r="D49" s="27">
        <f>0.06*MIN(A49,30)/30</f>
        <v/>
      </c>
    </row>
    <row r="50">
      <c r="A50" t="n">
        <v>24</v>
      </c>
      <c r="B50" s="27">
        <f>PP_PSA/100*0.06*MIN(A50,30)/30</f>
        <v/>
      </c>
      <c r="C50" s="33">
        <f>1-(1-B50)^(1/12)</f>
        <v/>
      </c>
      <c r="D50" s="27">
        <f>0.06*MIN(A50,30)/30</f>
        <v/>
      </c>
    </row>
    <row r="51">
      <c r="A51" t="n">
        <v>25</v>
      </c>
      <c r="B51" s="27">
        <f>PP_PSA/100*0.06*MIN(A51,30)/30</f>
        <v/>
      </c>
      <c r="C51" s="33">
        <f>1-(1-B51)^(1/12)</f>
        <v/>
      </c>
      <c r="D51" s="27">
        <f>0.06*MIN(A51,30)/30</f>
        <v/>
      </c>
    </row>
    <row r="52">
      <c r="A52" t="n">
        <v>26</v>
      </c>
      <c r="B52" s="27">
        <f>PP_PSA/100*0.06*MIN(A52,30)/30</f>
        <v/>
      </c>
      <c r="C52" s="33">
        <f>1-(1-B52)^(1/12)</f>
        <v/>
      </c>
      <c r="D52" s="27">
        <f>0.06*MIN(A52,30)/30</f>
        <v/>
      </c>
    </row>
    <row r="53">
      <c r="A53" t="n">
        <v>27</v>
      </c>
      <c r="B53" s="27">
        <f>PP_PSA/100*0.06*MIN(A53,30)/30</f>
        <v/>
      </c>
      <c r="C53" s="33">
        <f>1-(1-B53)^(1/12)</f>
        <v/>
      </c>
      <c r="D53" s="27">
        <f>0.06*MIN(A53,30)/30</f>
        <v/>
      </c>
    </row>
    <row r="54">
      <c r="A54" t="n">
        <v>28</v>
      </c>
      <c r="B54" s="27">
        <f>PP_PSA/100*0.06*MIN(A54,30)/30</f>
        <v/>
      </c>
      <c r="C54" s="33">
        <f>1-(1-B54)^(1/12)</f>
        <v/>
      </c>
      <c r="D54" s="27">
        <f>0.06*MIN(A54,30)/30</f>
        <v/>
      </c>
    </row>
    <row r="55">
      <c r="A55" t="n">
        <v>29</v>
      </c>
      <c r="B55" s="27">
        <f>PP_PSA/100*0.06*MIN(A55,30)/30</f>
        <v/>
      </c>
      <c r="C55" s="33">
        <f>1-(1-B55)^(1/12)</f>
        <v/>
      </c>
      <c r="D55" s="27">
        <f>0.06*MIN(A55,30)/30</f>
        <v/>
      </c>
    </row>
    <row r="56">
      <c r="A56" t="n">
        <v>30</v>
      </c>
      <c r="B56" s="27">
        <f>PP_PSA/100*0.06*MIN(A56,30)/30</f>
        <v/>
      </c>
      <c r="C56" s="33">
        <f>1-(1-B56)^(1/12)</f>
        <v/>
      </c>
      <c r="D56" s="27">
        <f>0.06*MIN(A56,30)/30</f>
        <v/>
      </c>
    </row>
    <row r="57">
      <c r="A57" t="n">
        <v>31</v>
      </c>
      <c r="B57" s="27">
        <f>PP_PSA/100*0.06*MIN(A57,30)/30</f>
        <v/>
      </c>
      <c r="C57" s="33">
        <f>1-(1-B57)^(1/12)</f>
        <v/>
      </c>
      <c r="D57" s="27">
        <f>0.06*MIN(A57,30)/30</f>
        <v/>
      </c>
    </row>
    <row r="58">
      <c r="A58" t="n">
        <v>32</v>
      </c>
      <c r="B58" s="27">
        <f>PP_PSA/100*0.06*MIN(A58,30)/30</f>
        <v/>
      </c>
      <c r="C58" s="33">
        <f>1-(1-B58)^(1/12)</f>
        <v/>
      </c>
      <c r="D58" s="27">
        <f>0.06*MIN(A58,30)/30</f>
        <v/>
      </c>
    </row>
    <row r="59">
      <c r="A59" t="n">
        <v>33</v>
      </c>
      <c r="B59" s="27">
        <f>PP_PSA/100*0.06*MIN(A59,30)/30</f>
        <v/>
      </c>
      <c r="C59" s="33">
        <f>1-(1-B59)^(1/12)</f>
        <v/>
      </c>
      <c r="D59" s="27">
        <f>0.06*MIN(A59,30)/30</f>
        <v/>
      </c>
    </row>
    <row r="60">
      <c r="A60" t="n">
        <v>34</v>
      </c>
      <c r="B60" s="27">
        <f>PP_PSA/100*0.06*MIN(A60,30)/30</f>
        <v/>
      </c>
      <c r="C60" s="33">
        <f>1-(1-B60)^(1/12)</f>
        <v/>
      </c>
      <c r="D60" s="27">
        <f>0.06*MIN(A60,30)/30</f>
        <v/>
      </c>
    </row>
    <row r="61">
      <c r="A61" t="n">
        <v>35</v>
      </c>
      <c r="B61" s="27">
        <f>PP_PSA/100*0.06*MIN(A61,30)/30</f>
        <v/>
      </c>
      <c r="C61" s="33">
        <f>1-(1-B61)^(1/12)</f>
        <v/>
      </c>
      <c r="D61" s="27">
        <f>0.06*MIN(A61,30)/30</f>
        <v/>
      </c>
    </row>
    <row r="62">
      <c r="A62" t="n">
        <v>36</v>
      </c>
      <c r="B62" s="27">
        <f>PP_PSA/100*0.06*MIN(A62,30)/30</f>
        <v/>
      </c>
      <c r="C62" s="33">
        <f>1-(1-B62)^(1/12)</f>
        <v/>
      </c>
      <c r="D62" s="27">
        <f>0.06*MIN(A62,30)/30</f>
        <v/>
      </c>
    </row>
    <row r="63">
      <c r="A63" t="n">
        <v>37</v>
      </c>
      <c r="B63" s="27">
        <f>PP_PSA/100*0.06*MIN(A63,30)/30</f>
        <v/>
      </c>
      <c r="C63" s="33">
        <f>1-(1-B63)^(1/12)</f>
        <v/>
      </c>
      <c r="D63" s="27">
        <f>0.06*MIN(A63,30)/30</f>
        <v/>
      </c>
    </row>
    <row r="64">
      <c r="A64" t="n">
        <v>38</v>
      </c>
      <c r="B64" s="27">
        <f>PP_PSA/100*0.06*MIN(A64,30)/30</f>
        <v/>
      </c>
      <c r="C64" s="33">
        <f>1-(1-B64)^(1/12)</f>
        <v/>
      </c>
      <c r="D64" s="27">
        <f>0.06*MIN(A64,30)/30</f>
        <v/>
      </c>
    </row>
    <row r="65">
      <c r="A65" t="n">
        <v>39</v>
      </c>
      <c r="B65" s="27">
        <f>PP_PSA/100*0.06*MIN(A65,30)/30</f>
        <v/>
      </c>
      <c r="C65" s="33">
        <f>1-(1-B65)^(1/12)</f>
        <v/>
      </c>
      <c r="D65" s="27">
        <f>0.06*MIN(A65,30)/30</f>
        <v/>
      </c>
    </row>
    <row r="66">
      <c r="A66" t="n">
        <v>40</v>
      </c>
      <c r="B66" s="27">
        <f>PP_PSA/100*0.06*MIN(A66,30)/30</f>
        <v/>
      </c>
      <c r="C66" s="33">
        <f>1-(1-B66)^(1/12)</f>
        <v/>
      </c>
      <c r="D66" s="27">
        <f>0.06*MIN(A66,30)/30</f>
        <v/>
      </c>
    </row>
    <row r="67">
      <c r="A67" t="n">
        <v>41</v>
      </c>
      <c r="B67" s="27">
        <f>PP_PSA/100*0.06*MIN(A67,30)/30</f>
        <v/>
      </c>
      <c r="C67" s="33">
        <f>1-(1-B67)^(1/12)</f>
        <v/>
      </c>
      <c r="D67" s="27">
        <f>0.06*MIN(A67,30)/30</f>
        <v/>
      </c>
    </row>
    <row r="68">
      <c r="A68" t="n">
        <v>42</v>
      </c>
      <c r="B68" s="27">
        <f>PP_PSA/100*0.06*MIN(A68,30)/30</f>
        <v/>
      </c>
      <c r="C68" s="33">
        <f>1-(1-B68)^(1/12)</f>
        <v/>
      </c>
      <c r="D68" s="27">
        <f>0.06*MIN(A68,30)/30</f>
        <v/>
      </c>
    </row>
    <row r="69">
      <c r="A69" t="n">
        <v>43</v>
      </c>
      <c r="B69" s="27">
        <f>PP_PSA/100*0.06*MIN(A69,30)/30</f>
        <v/>
      </c>
      <c r="C69" s="33">
        <f>1-(1-B69)^(1/12)</f>
        <v/>
      </c>
      <c r="D69" s="27">
        <f>0.06*MIN(A69,30)/30</f>
        <v/>
      </c>
    </row>
    <row r="70">
      <c r="A70" t="n">
        <v>44</v>
      </c>
      <c r="B70" s="27">
        <f>PP_PSA/100*0.06*MIN(A70,30)/30</f>
        <v/>
      </c>
      <c r="C70" s="33">
        <f>1-(1-B70)^(1/12)</f>
        <v/>
      </c>
      <c r="D70" s="27">
        <f>0.06*MIN(A70,30)/30</f>
        <v/>
      </c>
    </row>
    <row r="71">
      <c r="A71" t="n">
        <v>45</v>
      </c>
      <c r="B71" s="27">
        <f>PP_PSA/100*0.06*MIN(A71,30)/30</f>
        <v/>
      </c>
      <c r="C71" s="33">
        <f>1-(1-B71)^(1/12)</f>
        <v/>
      </c>
      <c r="D71" s="27">
        <f>0.06*MIN(A71,30)/30</f>
        <v/>
      </c>
    </row>
    <row r="72">
      <c r="A72" t="n">
        <v>46</v>
      </c>
      <c r="B72" s="27">
        <f>PP_PSA/100*0.06*MIN(A72,30)/30</f>
        <v/>
      </c>
      <c r="C72" s="33">
        <f>1-(1-B72)^(1/12)</f>
        <v/>
      </c>
      <c r="D72" s="27">
        <f>0.06*MIN(A72,30)/30</f>
        <v/>
      </c>
    </row>
    <row r="73">
      <c r="A73" t="n">
        <v>47</v>
      </c>
      <c r="B73" s="27">
        <f>PP_PSA/100*0.06*MIN(A73,30)/30</f>
        <v/>
      </c>
      <c r="C73" s="33">
        <f>1-(1-B73)^(1/12)</f>
        <v/>
      </c>
      <c r="D73" s="27">
        <f>0.06*MIN(A73,30)/30</f>
        <v/>
      </c>
    </row>
    <row r="74">
      <c r="A74" t="n">
        <v>48</v>
      </c>
      <c r="B74" s="27">
        <f>PP_PSA/100*0.06*MIN(A74,30)/30</f>
        <v/>
      </c>
      <c r="C74" s="33">
        <f>1-(1-B74)^(1/12)</f>
        <v/>
      </c>
      <c r="D74" s="27">
        <f>0.06*MIN(A74,30)/30</f>
        <v/>
      </c>
    </row>
    <row r="75">
      <c r="A75" t="n">
        <v>49</v>
      </c>
      <c r="B75" s="27">
        <f>PP_PSA/100*0.06*MIN(A75,30)/30</f>
        <v/>
      </c>
      <c r="C75" s="33">
        <f>1-(1-B75)^(1/12)</f>
        <v/>
      </c>
      <c r="D75" s="27">
        <f>0.06*MIN(A75,30)/30</f>
        <v/>
      </c>
    </row>
    <row r="76">
      <c r="A76" t="n">
        <v>50</v>
      </c>
      <c r="B76" s="27">
        <f>PP_PSA/100*0.06*MIN(A76,30)/30</f>
        <v/>
      </c>
      <c r="C76" s="33">
        <f>1-(1-B76)^(1/12)</f>
        <v/>
      </c>
      <c r="D76" s="27">
        <f>0.06*MIN(A76,30)/30</f>
        <v/>
      </c>
    </row>
    <row r="77">
      <c r="A77" t="n">
        <v>51</v>
      </c>
      <c r="B77" s="27">
        <f>PP_PSA/100*0.06*MIN(A77,30)/30</f>
        <v/>
      </c>
      <c r="C77" s="33">
        <f>1-(1-B77)^(1/12)</f>
        <v/>
      </c>
      <c r="D77" s="27">
        <f>0.06*MIN(A77,30)/30</f>
        <v/>
      </c>
    </row>
    <row r="78">
      <c r="A78" t="n">
        <v>52</v>
      </c>
      <c r="B78" s="27">
        <f>PP_PSA/100*0.06*MIN(A78,30)/30</f>
        <v/>
      </c>
      <c r="C78" s="33">
        <f>1-(1-B78)^(1/12)</f>
        <v/>
      </c>
      <c r="D78" s="27">
        <f>0.06*MIN(A78,30)/30</f>
        <v/>
      </c>
    </row>
    <row r="79">
      <c r="A79" t="n">
        <v>53</v>
      </c>
      <c r="B79" s="27">
        <f>PP_PSA/100*0.06*MIN(A79,30)/30</f>
        <v/>
      </c>
      <c r="C79" s="33">
        <f>1-(1-B79)^(1/12)</f>
        <v/>
      </c>
      <c r="D79" s="27">
        <f>0.06*MIN(A79,30)/30</f>
        <v/>
      </c>
    </row>
    <row r="80">
      <c r="A80" t="n">
        <v>54</v>
      </c>
      <c r="B80" s="27">
        <f>PP_PSA/100*0.06*MIN(A80,30)/30</f>
        <v/>
      </c>
      <c r="C80" s="33">
        <f>1-(1-B80)^(1/12)</f>
        <v/>
      </c>
      <c r="D80" s="27">
        <f>0.06*MIN(A80,30)/30</f>
        <v/>
      </c>
    </row>
    <row r="81">
      <c r="A81" t="n">
        <v>55</v>
      </c>
      <c r="B81" s="27">
        <f>PP_PSA/100*0.06*MIN(A81,30)/30</f>
        <v/>
      </c>
      <c r="C81" s="33">
        <f>1-(1-B81)^(1/12)</f>
        <v/>
      </c>
      <c r="D81" s="27">
        <f>0.06*MIN(A81,30)/30</f>
        <v/>
      </c>
    </row>
    <row r="82">
      <c r="A82" t="n">
        <v>56</v>
      </c>
      <c r="B82" s="27">
        <f>PP_PSA/100*0.06*MIN(A82,30)/30</f>
        <v/>
      </c>
      <c r="C82" s="33">
        <f>1-(1-B82)^(1/12)</f>
        <v/>
      </c>
      <c r="D82" s="27">
        <f>0.06*MIN(A82,30)/30</f>
        <v/>
      </c>
    </row>
    <row r="83">
      <c r="A83" t="n">
        <v>57</v>
      </c>
      <c r="B83" s="27">
        <f>PP_PSA/100*0.06*MIN(A83,30)/30</f>
        <v/>
      </c>
      <c r="C83" s="33">
        <f>1-(1-B83)^(1/12)</f>
        <v/>
      </c>
      <c r="D83" s="27">
        <f>0.06*MIN(A83,30)/30</f>
        <v/>
      </c>
    </row>
    <row r="84">
      <c r="A84" t="n">
        <v>58</v>
      </c>
      <c r="B84" s="27">
        <f>PP_PSA/100*0.06*MIN(A84,30)/30</f>
        <v/>
      </c>
      <c r="C84" s="33">
        <f>1-(1-B84)^(1/12)</f>
        <v/>
      </c>
      <c r="D84" s="27">
        <f>0.06*MIN(A84,30)/30</f>
        <v/>
      </c>
    </row>
    <row r="85">
      <c r="A85" t="n">
        <v>59</v>
      </c>
      <c r="B85" s="27">
        <f>PP_PSA/100*0.06*MIN(A85,30)/30</f>
        <v/>
      </c>
      <c r="C85" s="33">
        <f>1-(1-B85)^(1/12)</f>
        <v/>
      </c>
      <c r="D85" s="27">
        <f>0.06*MIN(A85,30)/30</f>
        <v/>
      </c>
    </row>
    <row r="86">
      <c r="A86" t="n">
        <v>60</v>
      </c>
      <c r="B86" s="27">
        <f>PP_PSA/100*0.06*MIN(A86,30)/30</f>
        <v/>
      </c>
      <c r="C86" s="33">
        <f>1-(1-B86)^(1/12)</f>
        <v/>
      </c>
      <c r="D86" s="27">
        <f>0.06*MIN(A86,30)/30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80"/>
  <sheetViews>
    <sheetView workbookViewId="0">
      <pane xSplit="1" ySplit="19" topLeftCell="B2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5" customWidth="1" min="2" max="2"/>
    <col width="9" customWidth="1" min="3" max="3"/>
    <col width="9" customWidth="1" min="4" max="4"/>
    <col width="13" customWidth="1" min="5" max="5"/>
    <col width="4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2" customWidth="1" min="12" max="12"/>
    <col width="12" customWidth="1" min="13" max="13"/>
    <col width="14" customWidth="1" min="14" max="14"/>
    <col width="15" customWidth="1" min="15" max="15"/>
    <col width="14" customWidth="1" min="16" max="16"/>
    <col width="10" customWidth="1" min="17" max="17"/>
    <col width="14" customWidth="1" min="18" max="18"/>
  </cols>
  <sheetData>
    <row r="1">
      <c r="A1" s="1" t="inlineStr">
        <is>
          <t>Monthly cash-flow model: CPR / CDR / severity (360 months)</t>
        </is>
      </c>
    </row>
    <row r="2">
      <c r="A2" s="6" t="inlineStr">
        <is>
          <t>Defaults liquidate immediately; no servicer advancing; no recovery lag (simplification).</t>
        </is>
      </c>
    </row>
    <row r="3">
      <c r="A3" s="8" t="inlineStr">
        <is>
          <t>ILLUSTRATIVE INPUTS - Example numbers, not market data. Yellow cells with blue font are inputs; everything else is a formula.</t>
        </is>
      </c>
    </row>
    <row r="5">
      <c r="A5" s="7" t="inlineStr">
        <is>
          <t>INPUTS</t>
        </is>
      </c>
      <c r="B5" s="9" t="n"/>
      <c r="C5" s="9" t="n"/>
      <c r="D5" s="9" t="n"/>
      <c r="F5" s="7" t="inlineStr">
        <is>
          <t>OUTPUTS</t>
        </is>
      </c>
      <c r="G5" s="9" t="n"/>
      <c r="H5" s="9" t="n"/>
    </row>
    <row r="6">
      <c r="A6" t="inlineStr">
        <is>
          <t>Original balance ($)</t>
        </is>
      </c>
      <c r="B6" s="10" t="n">
        <v>100000000</v>
      </c>
      <c r="C6" s="6" t="inlineStr">
        <is>
          <t>OrigBal</t>
        </is>
      </c>
      <c r="D6" s="6" t="inlineStr">
        <is>
          <t>$</t>
        </is>
      </c>
      <c r="F6" t="inlineStr">
        <is>
          <t>Price from yield (SUMPRODUCT)</t>
        </is>
      </c>
      <c r="G6" s="22">
        <f>SUMPRODUCT(P21:P380,Q21:Q380)/OrigBal*100</f>
        <v/>
      </c>
      <c r="H6" s="6" t="inlineStr">
        <is>
          <t>PriceFromYield</t>
        </is>
      </c>
    </row>
    <row r="7">
      <c r="A7" t="inlineStr">
        <is>
          <t>Gross WAC (note rate, decimal)</t>
        </is>
      </c>
      <c r="B7" s="20" t="n">
        <v>0.0725</v>
      </c>
      <c r="C7" s="6" t="inlineStr">
        <is>
          <t>WAC</t>
        </is>
      </c>
      <c r="D7" s="6" t="inlineStr"/>
      <c r="F7" t="inlineStr">
        <is>
          <t>Price from yield (NPV check)</t>
        </is>
      </c>
      <c r="G7" s="22">
        <f>NPV(CF_Yield/12,P21:P380)/OrigBal*100</f>
        <v/>
      </c>
    </row>
    <row r="8">
      <c r="A8" t="inlineStr">
        <is>
          <t>Servicing fee (decimal)</t>
        </is>
      </c>
      <c r="B8" s="20" t="n">
        <v>0.0025</v>
      </c>
      <c r="C8" s="6" t="inlineStr">
        <is>
          <t>ServFee</t>
        </is>
      </c>
      <c r="D8" s="6" t="inlineStr"/>
      <c r="F8" t="inlineStr">
        <is>
          <t>Yield from price (IRR x 12, mortgage yield)</t>
        </is>
      </c>
      <c r="G8" s="24">
        <f>IRR(P20:P380,0.005)*12</f>
        <v/>
      </c>
      <c r="H8" s="6" t="inlineStr">
        <is>
          <t>YieldFromPrice</t>
        </is>
      </c>
    </row>
    <row r="9">
      <c r="A9" t="inlineStr">
        <is>
          <t>Original term (months)</t>
        </is>
      </c>
      <c r="B9" s="31" t="n">
        <v>360</v>
      </c>
      <c r="C9" s="6" t="inlineStr">
        <is>
          <t>Term</t>
        </is>
      </c>
      <c r="D9" s="6" t="inlineStr">
        <is>
          <t>months</t>
        </is>
      </c>
      <c r="F9" t="inlineStr">
        <is>
          <t>Yield from price as BEY</t>
        </is>
      </c>
      <c r="G9" s="24">
        <f>2*((1+YieldFromPrice/12)^6-1)</f>
        <v/>
      </c>
    </row>
    <row r="10">
      <c r="A10" t="inlineStr">
        <is>
          <t>CPR (annual, decimal)</t>
        </is>
      </c>
      <c r="B10" s="14" t="n">
        <v>0.15</v>
      </c>
      <c r="C10" s="6" t="inlineStr">
        <is>
          <t>CF_CPR</t>
        </is>
      </c>
      <c r="D10" s="6" t="inlineStr"/>
      <c r="F10" t="inlineStr">
        <is>
          <t>WAL (years)</t>
        </is>
      </c>
      <c r="G10" s="16">
        <f>SUMPRODUCT(A21:A380,N21:N380)/SUM(N21:N380)/12</f>
        <v/>
      </c>
      <c r="H10" s="6" t="inlineStr">
        <is>
          <t>WAL_CF</t>
        </is>
      </c>
    </row>
    <row r="11">
      <c r="A11" t="inlineStr">
        <is>
          <t>CDR (annual, decimal)</t>
        </is>
      </c>
      <c r="B11" s="14" t="n">
        <v>0.01</v>
      </c>
      <c r="C11" s="6" t="inlineStr">
        <is>
          <t>CF_CDR</t>
        </is>
      </c>
      <c r="D11" s="6" t="inlineStr"/>
      <c r="F11" t="inlineStr">
        <is>
          <t>Cumulative loss (% of orig. bal.)</t>
        </is>
      </c>
      <c r="G11" s="30">
        <f>SUM(L21:L380)/OrigBal</f>
        <v/>
      </c>
    </row>
    <row r="12">
      <c r="A12" t="inlineStr">
        <is>
          <t>Loss severity (decimal)</t>
        </is>
      </c>
      <c r="B12" s="14" t="n">
        <v>0.3</v>
      </c>
      <c r="C12" s="6" t="inlineStr">
        <is>
          <t>Severity</t>
        </is>
      </c>
      <c r="D12" s="6" t="inlineStr"/>
      <c r="F12" t="inlineStr">
        <is>
          <t>Total prepayments ($)</t>
        </is>
      </c>
      <c r="G12" s="15">
        <f>SUM(K21:K380)</f>
        <v/>
      </c>
    </row>
    <row r="13">
      <c r="A13" t="inlineStr">
        <is>
          <t>Yield for pricing (monthly-compounded, decimal)</t>
        </is>
      </c>
      <c r="B13" s="20" t="n">
        <v>0.068</v>
      </c>
      <c r="C13" s="6" t="inlineStr">
        <is>
          <t>CF_Yield</t>
        </is>
      </c>
      <c r="D13" s="6" t="inlineStr"/>
      <c r="F13" t="inlineStr">
        <is>
          <t>Check: principal + losses = orig. bal.</t>
        </is>
      </c>
      <c r="G13" s="34">
        <f>IF(ABS(SUM(N21:N380)+SUM(L21:L380)-OrigBal)&lt;1,"OK","CHECK")</f>
        <v/>
      </c>
    </row>
    <row r="14">
      <c r="A14" t="inlineStr">
        <is>
          <t>Price for yield calc (points)</t>
        </is>
      </c>
      <c r="B14" s="11" t="n">
        <v>101</v>
      </c>
      <c r="C14" s="6" t="inlineStr">
        <is>
          <t>CF_Price</t>
        </is>
      </c>
      <c r="D14" s="6" t="inlineStr">
        <is>
          <t>pts</t>
        </is>
      </c>
      <c r="F14" t="inlineStr">
        <is>
          <t>Check: ending balance at month 360</t>
        </is>
      </c>
      <c r="G14" s="18">
        <f>O380</f>
        <v/>
      </c>
    </row>
    <row r="16">
      <c r="A16" s="6" t="inlineStr">
        <is>
          <t>Data Table tip: put yields across row 16-ish and CPRs down a column, top-left cell =PriceFromYield, then Data &gt; What-If Analysis &gt; Data Table (row input CF_Yield, column input CF_CPR). Input cells must be on this sheet.</t>
        </is>
      </c>
    </row>
    <row r="19">
      <c r="A19" s="35" t="inlineStr">
        <is>
          <t>Month</t>
        </is>
      </c>
      <c r="B19" s="35" t="inlineStr">
        <is>
          <t>Beg balance</t>
        </is>
      </c>
      <c r="C19" s="35" t="inlineStr">
        <is>
          <t>SMM</t>
        </is>
      </c>
      <c r="D19" s="35" t="inlineStr">
        <is>
          <t>MDR</t>
        </is>
      </c>
      <c r="E19" s="35" t="inlineStr">
        <is>
          <t>Defaults</t>
        </is>
      </c>
      <c r="F19" s="35" t="inlineStr">
        <is>
          <t>Performing bal</t>
        </is>
      </c>
      <c r="G19" s="35" t="inlineStr">
        <is>
          <t>Sched payment</t>
        </is>
      </c>
      <c r="H19" s="35" t="inlineStr">
        <is>
          <t>Gross interest</t>
        </is>
      </c>
      <c r="I19" s="35" t="inlineStr">
        <is>
          <t>Net interest</t>
        </is>
      </c>
      <c r="J19" s="35" t="inlineStr">
        <is>
          <t>Sched principal</t>
        </is>
      </c>
      <c r="K19" s="35" t="inlineStr">
        <is>
          <t>Prepayments</t>
        </is>
      </c>
      <c r="L19" s="35" t="inlineStr">
        <is>
          <t>Loss</t>
        </is>
      </c>
      <c r="M19" s="35" t="inlineStr">
        <is>
          <t>Recovery</t>
        </is>
      </c>
      <c r="N19" s="35" t="inlineStr">
        <is>
          <t>Total principal</t>
        </is>
      </c>
      <c r="O19" s="35" t="inlineStr">
        <is>
          <t>End balance</t>
        </is>
      </c>
      <c r="P19" s="35" t="inlineStr">
        <is>
          <t>Net cash flow</t>
        </is>
      </c>
      <c r="Q19" s="35" t="inlineStr">
        <is>
          <t>Disc factor</t>
        </is>
      </c>
      <c r="R19" s="35" t="inlineStr">
        <is>
          <t>PV</t>
        </is>
      </c>
    </row>
    <row r="20">
      <c r="A20" t="n">
        <v>0</v>
      </c>
      <c r="O20" s="28">
        <f>OrigBal</f>
        <v/>
      </c>
      <c r="P20" s="28">
        <f>-CF_Price/100*OrigBal</f>
        <v/>
      </c>
    </row>
    <row r="21">
      <c r="A21" s="26">
        <f>A20+1</f>
        <v/>
      </c>
      <c r="B21" s="28">
        <f>O20</f>
        <v/>
      </c>
      <c r="C21" s="33">
        <f>1-(1-CF_CPR)^(1/12)</f>
        <v/>
      </c>
      <c r="D21" s="33">
        <f>1-(1-CF_CDR)^(1/12)</f>
        <v/>
      </c>
      <c r="E21" s="28">
        <f>B21*D21</f>
        <v/>
      </c>
      <c r="F21" s="28">
        <f>B21-E21</f>
        <v/>
      </c>
      <c r="G21" s="28">
        <f>IF(F21&gt;0.005,PMT(WAC/12,Term-A21+1,-F21),0)</f>
        <v/>
      </c>
      <c r="H21" s="28">
        <f>F21*WAC/12</f>
        <v/>
      </c>
      <c r="I21" s="28">
        <f>F21*(WAC-ServFee)/12</f>
        <v/>
      </c>
      <c r="J21" s="28">
        <f>G21-H21</f>
        <v/>
      </c>
      <c r="K21" s="28">
        <f>(F21-J21)*C21</f>
        <v/>
      </c>
      <c r="L21" s="28">
        <f>E21*Severity</f>
        <v/>
      </c>
      <c r="M21" s="28">
        <f>E21-L21</f>
        <v/>
      </c>
      <c r="N21" s="28">
        <f>J21+K21+M21</f>
        <v/>
      </c>
      <c r="O21" s="28">
        <f>F21-J21-K21</f>
        <v/>
      </c>
      <c r="P21" s="28">
        <f>I21+N21</f>
        <v/>
      </c>
      <c r="Q21" s="36">
        <f>(1+CF_Yield/12)^-A21</f>
        <v/>
      </c>
      <c r="R21" s="28">
        <f>P21*Q21</f>
        <v/>
      </c>
    </row>
    <row r="22">
      <c r="A22" s="26">
        <f>A21+1</f>
        <v/>
      </c>
      <c r="B22" s="28">
        <f>O21</f>
        <v/>
      </c>
      <c r="C22" s="33">
        <f>1-(1-CF_CPR)^(1/12)</f>
        <v/>
      </c>
      <c r="D22" s="33">
        <f>1-(1-CF_CDR)^(1/12)</f>
        <v/>
      </c>
      <c r="E22" s="28">
        <f>B22*D22</f>
        <v/>
      </c>
      <c r="F22" s="28">
        <f>B22-E22</f>
        <v/>
      </c>
      <c r="G22" s="28">
        <f>IF(F22&gt;0.005,PMT(WAC/12,Term-A22+1,-F22),0)</f>
        <v/>
      </c>
      <c r="H22" s="28">
        <f>F22*WAC/12</f>
        <v/>
      </c>
      <c r="I22" s="28">
        <f>F22*(WAC-ServFee)/12</f>
        <v/>
      </c>
      <c r="J22" s="28">
        <f>G22-H22</f>
        <v/>
      </c>
      <c r="K22" s="28">
        <f>(F22-J22)*C22</f>
        <v/>
      </c>
      <c r="L22" s="28">
        <f>E22*Severity</f>
        <v/>
      </c>
      <c r="M22" s="28">
        <f>E22-L22</f>
        <v/>
      </c>
      <c r="N22" s="28">
        <f>J22+K22+M22</f>
        <v/>
      </c>
      <c r="O22" s="28">
        <f>F22-J22-K22</f>
        <v/>
      </c>
      <c r="P22" s="28">
        <f>I22+N22</f>
        <v/>
      </c>
      <c r="Q22" s="36">
        <f>(1+CF_Yield/12)^-A22</f>
        <v/>
      </c>
      <c r="R22" s="28">
        <f>P22*Q22</f>
        <v/>
      </c>
    </row>
    <row r="23">
      <c r="A23" s="26">
        <f>A22+1</f>
        <v/>
      </c>
      <c r="B23" s="28">
        <f>O22</f>
        <v/>
      </c>
      <c r="C23" s="33">
        <f>1-(1-CF_CPR)^(1/12)</f>
        <v/>
      </c>
      <c r="D23" s="33">
        <f>1-(1-CF_CDR)^(1/12)</f>
        <v/>
      </c>
      <c r="E23" s="28">
        <f>B23*D23</f>
        <v/>
      </c>
      <c r="F23" s="28">
        <f>B23-E23</f>
        <v/>
      </c>
      <c r="G23" s="28">
        <f>IF(F23&gt;0.005,PMT(WAC/12,Term-A23+1,-F23),0)</f>
        <v/>
      </c>
      <c r="H23" s="28">
        <f>F23*WAC/12</f>
        <v/>
      </c>
      <c r="I23" s="28">
        <f>F23*(WAC-ServFee)/12</f>
        <v/>
      </c>
      <c r="J23" s="28">
        <f>G23-H23</f>
        <v/>
      </c>
      <c r="K23" s="28">
        <f>(F23-J23)*C23</f>
        <v/>
      </c>
      <c r="L23" s="28">
        <f>E23*Severity</f>
        <v/>
      </c>
      <c r="M23" s="28">
        <f>E23-L23</f>
        <v/>
      </c>
      <c r="N23" s="28">
        <f>J23+K23+M23</f>
        <v/>
      </c>
      <c r="O23" s="28">
        <f>F23-J23-K23</f>
        <v/>
      </c>
      <c r="P23" s="28">
        <f>I23+N23</f>
        <v/>
      </c>
      <c r="Q23" s="36">
        <f>(1+CF_Yield/12)^-A23</f>
        <v/>
      </c>
      <c r="R23" s="28">
        <f>P23*Q23</f>
        <v/>
      </c>
    </row>
    <row r="24">
      <c r="A24" s="26">
        <f>A23+1</f>
        <v/>
      </c>
      <c r="B24" s="28">
        <f>O23</f>
        <v/>
      </c>
      <c r="C24" s="33">
        <f>1-(1-CF_CPR)^(1/12)</f>
        <v/>
      </c>
      <c r="D24" s="33">
        <f>1-(1-CF_CDR)^(1/12)</f>
        <v/>
      </c>
      <c r="E24" s="28">
        <f>B24*D24</f>
        <v/>
      </c>
      <c r="F24" s="28">
        <f>B24-E24</f>
        <v/>
      </c>
      <c r="G24" s="28">
        <f>IF(F24&gt;0.005,PMT(WAC/12,Term-A24+1,-F24),0)</f>
        <v/>
      </c>
      <c r="H24" s="28">
        <f>F24*WAC/12</f>
        <v/>
      </c>
      <c r="I24" s="28">
        <f>F24*(WAC-ServFee)/12</f>
        <v/>
      </c>
      <c r="J24" s="28">
        <f>G24-H24</f>
        <v/>
      </c>
      <c r="K24" s="28">
        <f>(F24-J24)*C24</f>
        <v/>
      </c>
      <c r="L24" s="28">
        <f>E24*Severity</f>
        <v/>
      </c>
      <c r="M24" s="28">
        <f>E24-L24</f>
        <v/>
      </c>
      <c r="N24" s="28">
        <f>J24+K24+M24</f>
        <v/>
      </c>
      <c r="O24" s="28">
        <f>F24-J24-K24</f>
        <v/>
      </c>
      <c r="P24" s="28">
        <f>I24+N24</f>
        <v/>
      </c>
      <c r="Q24" s="36">
        <f>(1+CF_Yield/12)^-A24</f>
        <v/>
      </c>
      <c r="R24" s="28">
        <f>P24*Q24</f>
        <v/>
      </c>
    </row>
    <row r="25">
      <c r="A25" s="26">
        <f>A24+1</f>
        <v/>
      </c>
      <c r="B25" s="28">
        <f>O24</f>
        <v/>
      </c>
      <c r="C25" s="33">
        <f>1-(1-CF_CPR)^(1/12)</f>
        <v/>
      </c>
      <c r="D25" s="33">
        <f>1-(1-CF_CDR)^(1/12)</f>
        <v/>
      </c>
      <c r="E25" s="28">
        <f>B25*D25</f>
        <v/>
      </c>
      <c r="F25" s="28">
        <f>B25-E25</f>
        <v/>
      </c>
      <c r="G25" s="28">
        <f>IF(F25&gt;0.005,PMT(WAC/12,Term-A25+1,-F25),0)</f>
        <v/>
      </c>
      <c r="H25" s="28">
        <f>F25*WAC/12</f>
        <v/>
      </c>
      <c r="I25" s="28">
        <f>F25*(WAC-ServFee)/12</f>
        <v/>
      </c>
      <c r="J25" s="28">
        <f>G25-H25</f>
        <v/>
      </c>
      <c r="K25" s="28">
        <f>(F25-J25)*C25</f>
        <v/>
      </c>
      <c r="L25" s="28">
        <f>E25*Severity</f>
        <v/>
      </c>
      <c r="M25" s="28">
        <f>E25-L25</f>
        <v/>
      </c>
      <c r="N25" s="28">
        <f>J25+K25+M25</f>
        <v/>
      </c>
      <c r="O25" s="28">
        <f>F25-J25-K25</f>
        <v/>
      </c>
      <c r="P25" s="28">
        <f>I25+N25</f>
        <v/>
      </c>
      <c r="Q25" s="36">
        <f>(1+CF_Yield/12)^-A25</f>
        <v/>
      </c>
      <c r="R25" s="28">
        <f>P25*Q25</f>
        <v/>
      </c>
    </row>
    <row r="26">
      <c r="A26" s="26">
        <f>A25+1</f>
        <v/>
      </c>
      <c r="B26" s="28">
        <f>O25</f>
        <v/>
      </c>
      <c r="C26" s="33">
        <f>1-(1-CF_CPR)^(1/12)</f>
        <v/>
      </c>
      <c r="D26" s="33">
        <f>1-(1-CF_CDR)^(1/12)</f>
        <v/>
      </c>
      <c r="E26" s="28">
        <f>B26*D26</f>
        <v/>
      </c>
      <c r="F26" s="28">
        <f>B26-E26</f>
        <v/>
      </c>
      <c r="G26" s="28">
        <f>IF(F26&gt;0.005,PMT(WAC/12,Term-A26+1,-F26),0)</f>
        <v/>
      </c>
      <c r="H26" s="28">
        <f>F26*WAC/12</f>
        <v/>
      </c>
      <c r="I26" s="28">
        <f>F26*(WAC-ServFee)/12</f>
        <v/>
      </c>
      <c r="J26" s="28">
        <f>G26-H26</f>
        <v/>
      </c>
      <c r="K26" s="28">
        <f>(F26-J26)*C26</f>
        <v/>
      </c>
      <c r="L26" s="28">
        <f>E26*Severity</f>
        <v/>
      </c>
      <c r="M26" s="28">
        <f>E26-L26</f>
        <v/>
      </c>
      <c r="N26" s="28">
        <f>J26+K26+M26</f>
        <v/>
      </c>
      <c r="O26" s="28">
        <f>F26-J26-K26</f>
        <v/>
      </c>
      <c r="P26" s="28">
        <f>I26+N26</f>
        <v/>
      </c>
      <c r="Q26" s="36">
        <f>(1+CF_Yield/12)^-A26</f>
        <v/>
      </c>
      <c r="R26" s="28">
        <f>P26*Q26</f>
        <v/>
      </c>
    </row>
    <row r="27">
      <c r="A27" s="26">
        <f>A26+1</f>
        <v/>
      </c>
      <c r="B27" s="28">
        <f>O26</f>
        <v/>
      </c>
      <c r="C27" s="33">
        <f>1-(1-CF_CPR)^(1/12)</f>
        <v/>
      </c>
      <c r="D27" s="33">
        <f>1-(1-CF_CDR)^(1/12)</f>
        <v/>
      </c>
      <c r="E27" s="28">
        <f>B27*D27</f>
        <v/>
      </c>
      <c r="F27" s="28">
        <f>B27-E27</f>
        <v/>
      </c>
      <c r="G27" s="28">
        <f>IF(F27&gt;0.005,PMT(WAC/12,Term-A27+1,-F27),0)</f>
        <v/>
      </c>
      <c r="H27" s="28">
        <f>F27*WAC/12</f>
        <v/>
      </c>
      <c r="I27" s="28">
        <f>F27*(WAC-ServFee)/12</f>
        <v/>
      </c>
      <c r="J27" s="28">
        <f>G27-H27</f>
        <v/>
      </c>
      <c r="K27" s="28">
        <f>(F27-J27)*C27</f>
        <v/>
      </c>
      <c r="L27" s="28">
        <f>E27*Severity</f>
        <v/>
      </c>
      <c r="M27" s="28">
        <f>E27-L27</f>
        <v/>
      </c>
      <c r="N27" s="28">
        <f>J27+K27+M27</f>
        <v/>
      </c>
      <c r="O27" s="28">
        <f>F27-J27-K27</f>
        <v/>
      </c>
      <c r="P27" s="28">
        <f>I27+N27</f>
        <v/>
      </c>
      <c r="Q27" s="36">
        <f>(1+CF_Yield/12)^-A27</f>
        <v/>
      </c>
      <c r="R27" s="28">
        <f>P27*Q27</f>
        <v/>
      </c>
    </row>
    <row r="28">
      <c r="A28" s="26">
        <f>A27+1</f>
        <v/>
      </c>
      <c r="B28" s="28">
        <f>O27</f>
        <v/>
      </c>
      <c r="C28" s="33">
        <f>1-(1-CF_CPR)^(1/12)</f>
        <v/>
      </c>
      <c r="D28" s="33">
        <f>1-(1-CF_CDR)^(1/12)</f>
        <v/>
      </c>
      <c r="E28" s="28">
        <f>B28*D28</f>
        <v/>
      </c>
      <c r="F28" s="28">
        <f>B28-E28</f>
        <v/>
      </c>
      <c r="G28" s="28">
        <f>IF(F28&gt;0.005,PMT(WAC/12,Term-A28+1,-F28),0)</f>
        <v/>
      </c>
      <c r="H28" s="28">
        <f>F28*WAC/12</f>
        <v/>
      </c>
      <c r="I28" s="28">
        <f>F28*(WAC-ServFee)/12</f>
        <v/>
      </c>
      <c r="J28" s="28">
        <f>G28-H28</f>
        <v/>
      </c>
      <c r="K28" s="28">
        <f>(F28-J28)*C28</f>
        <v/>
      </c>
      <c r="L28" s="28">
        <f>E28*Severity</f>
        <v/>
      </c>
      <c r="M28" s="28">
        <f>E28-L28</f>
        <v/>
      </c>
      <c r="N28" s="28">
        <f>J28+K28+M28</f>
        <v/>
      </c>
      <c r="O28" s="28">
        <f>F28-J28-K28</f>
        <v/>
      </c>
      <c r="P28" s="28">
        <f>I28+N28</f>
        <v/>
      </c>
      <c r="Q28" s="36">
        <f>(1+CF_Yield/12)^-A28</f>
        <v/>
      </c>
      <c r="R28" s="28">
        <f>P28*Q28</f>
        <v/>
      </c>
    </row>
    <row r="29">
      <c r="A29" s="26">
        <f>A28+1</f>
        <v/>
      </c>
      <c r="B29" s="28">
        <f>O28</f>
        <v/>
      </c>
      <c r="C29" s="33">
        <f>1-(1-CF_CPR)^(1/12)</f>
        <v/>
      </c>
      <c r="D29" s="33">
        <f>1-(1-CF_CDR)^(1/12)</f>
        <v/>
      </c>
      <c r="E29" s="28">
        <f>B29*D29</f>
        <v/>
      </c>
      <c r="F29" s="28">
        <f>B29-E29</f>
        <v/>
      </c>
      <c r="G29" s="28">
        <f>IF(F29&gt;0.005,PMT(WAC/12,Term-A29+1,-F29),0)</f>
        <v/>
      </c>
      <c r="H29" s="28">
        <f>F29*WAC/12</f>
        <v/>
      </c>
      <c r="I29" s="28">
        <f>F29*(WAC-ServFee)/12</f>
        <v/>
      </c>
      <c r="J29" s="28">
        <f>G29-H29</f>
        <v/>
      </c>
      <c r="K29" s="28">
        <f>(F29-J29)*C29</f>
        <v/>
      </c>
      <c r="L29" s="28">
        <f>E29*Severity</f>
        <v/>
      </c>
      <c r="M29" s="28">
        <f>E29-L29</f>
        <v/>
      </c>
      <c r="N29" s="28">
        <f>J29+K29+M29</f>
        <v/>
      </c>
      <c r="O29" s="28">
        <f>F29-J29-K29</f>
        <v/>
      </c>
      <c r="P29" s="28">
        <f>I29+N29</f>
        <v/>
      </c>
      <c r="Q29" s="36">
        <f>(1+CF_Yield/12)^-A29</f>
        <v/>
      </c>
      <c r="R29" s="28">
        <f>P29*Q29</f>
        <v/>
      </c>
    </row>
    <row r="30">
      <c r="A30" s="26">
        <f>A29+1</f>
        <v/>
      </c>
      <c r="B30" s="28">
        <f>O29</f>
        <v/>
      </c>
      <c r="C30" s="33">
        <f>1-(1-CF_CPR)^(1/12)</f>
        <v/>
      </c>
      <c r="D30" s="33">
        <f>1-(1-CF_CDR)^(1/12)</f>
        <v/>
      </c>
      <c r="E30" s="28">
        <f>B30*D30</f>
        <v/>
      </c>
      <c r="F30" s="28">
        <f>B30-E30</f>
        <v/>
      </c>
      <c r="G30" s="28">
        <f>IF(F30&gt;0.005,PMT(WAC/12,Term-A30+1,-F30),0)</f>
        <v/>
      </c>
      <c r="H30" s="28">
        <f>F30*WAC/12</f>
        <v/>
      </c>
      <c r="I30" s="28">
        <f>F30*(WAC-ServFee)/12</f>
        <v/>
      </c>
      <c r="J30" s="28">
        <f>G30-H30</f>
        <v/>
      </c>
      <c r="K30" s="28">
        <f>(F30-J30)*C30</f>
        <v/>
      </c>
      <c r="L30" s="28">
        <f>E30*Severity</f>
        <v/>
      </c>
      <c r="M30" s="28">
        <f>E30-L30</f>
        <v/>
      </c>
      <c r="N30" s="28">
        <f>J30+K30+M30</f>
        <v/>
      </c>
      <c r="O30" s="28">
        <f>F30-J30-K30</f>
        <v/>
      </c>
      <c r="P30" s="28">
        <f>I30+N30</f>
        <v/>
      </c>
      <c r="Q30" s="36">
        <f>(1+CF_Yield/12)^-A30</f>
        <v/>
      </c>
      <c r="R30" s="28">
        <f>P30*Q30</f>
        <v/>
      </c>
    </row>
    <row r="31">
      <c r="A31" s="26">
        <f>A30+1</f>
        <v/>
      </c>
      <c r="B31" s="28">
        <f>O30</f>
        <v/>
      </c>
      <c r="C31" s="33">
        <f>1-(1-CF_CPR)^(1/12)</f>
        <v/>
      </c>
      <c r="D31" s="33">
        <f>1-(1-CF_CDR)^(1/12)</f>
        <v/>
      </c>
      <c r="E31" s="28">
        <f>B31*D31</f>
        <v/>
      </c>
      <c r="F31" s="28">
        <f>B31-E31</f>
        <v/>
      </c>
      <c r="G31" s="28">
        <f>IF(F31&gt;0.005,PMT(WAC/12,Term-A31+1,-F31),0)</f>
        <v/>
      </c>
      <c r="H31" s="28">
        <f>F31*WAC/12</f>
        <v/>
      </c>
      <c r="I31" s="28">
        <f>F31*(WAC-ServFee)/12</f>
        <v/>
      </c>
      <c r="J31" s="28">
        <f>G31-H31</f>
        <v/>
      </c>
      <c r="K31" s="28">
        <f>(F31-J31)*C31</f>
        <v/>
      </c>
      <c r="L31" s="28">
        <f>E31*Severity</f>
        <v/>
      </c>
      <c r="M31" s="28">
        <f>E31-L31</f>
        <v/>
      </c>
      <c r="N31" s="28">
        <f>J31+K31+M31</f>
        <v/>
      </c>
      <c r="O31" s="28">
        <f>F31-J31-K31</f>
        <v/>
      </c>
      <c r="P31" s="28">
        <f>I31+N31</f>
        <v/>
      </c>
      <c r="Q31" s="36">
        <f>(1+CF_Yield/12)^-A31</f>
        <v/>
      </c>
      <c r="R31" s="28">
        <f>P31*Q31</f>
        <v/>
      </c>
    </row>
    <row r="32">
      <c r="A32" s="26">
        <f>A31+1</f>
        <v/>
      </c>
      <c r="B32" s="28">
        <f>O31</f>
        <v/>
      </c>
      <c r="C32" s="33">
        <f>1-(1-CF_CPR)^(1/12)</f>
        <v/>
      </c>
      <c r="D32" s="33">
        <f>1-(1-CF_CDR)^(1/12)</f>
        <v/>
      </c>
      <c r="E32" s="28">
        <f>B32*D32</f>
        <v/>
      </c>
      <c r="F32" s="28">
        <f>B32-E32</f>
        <v/>
      </c>
      <c r="G32" s="28">
        <f>IF(F32&gt;0.005,PMT(WAC/12,Term-A32+1,-F32),0)</f>
        <v/>
      </c>
      <c r="H32" s="28">
        <f>F32*WAC/12</f>
        <v/>
      </c>
      <c r="I32" s="28">
        <f>F32*(WAC-ServFee)/12</f>
        <v/>
      </c>
      <c r="J32" s="28">
        <f>G32-H32</f>
        <v/>
      </c>
      <c r="K32" s="28">
        <f>(F32-J32)*C32</f>
        <v/>
      </c>
      <c r="L32" s="28">
        <f>E32*Severity</f>
        <v/>
      </c>
      <c r="M32" s="28">
        <f>E32-L32</f>
        <v/>
      </c>
      <c r="N32" s="28">
        <f>J32+K32+M32</f>
        <v/>
      </c>
      <c r="O32" s="28">
        <f>F32-J32-K32</f>
        <v/>
      </c>
      <c r="P32" s="28">
        <f>I32+N32</f>
        <v/>
      </c>
      <c r="Q32" s="36">
        <f>(1+CF_Yield/12)^-A32</f>
        <v/>
      </c>
      <c r="R32" s="28">
        <f>P32*Q32</f>
        <v/>
      </c>
    </row>
    <row r="33">
      <c r="A33" s="26">
        <f>A32+1</f>
        <v/>
      </c>
      <c r="B33" s="28">
        <f>O32</f>
        <v/>
      </c>
      <c r="C33" s="33">
        <f>1-(1-CF_CPR)^(1/12)</f>
        <v/>
      </c>
      <c r="D33" s="33">
        <f>1-(1-CF_CDR)^(1/12)</f>
        <v/>
      </c>
      <c r="E33" s="28">
        <f>B33*D33</f>
        <v/>
      </c>
      <c r="F33" s="28">
        <f>B33-E33</f>
        <v/>
      </c>
      <c r="G33" s="28">
        <f>IF(F33&gt;0.005,PMT(WAC/12,Term-A33+1,-F33),0)</f>
        <v/>
      </c>
      <c r="H33" s="28">
        <f>F33*WAC/12</f>
        <v/>
      </c>
      <c r="I33" s="28">
        <f>F33*(WAC-ServFee)/12</f>
        <v/>
      </c>
      <c r="J33" s="28">
        <f>G33-H33</f>
        <v/>
      </c>
      <c r="K33" s="28">
        <f>(F33-J33)*C33</f>
        <v/>
      </c>
      <c r="L33" s="28">
        <f>E33*Severity</f>
        <v/>
      </c>
      <c r="M33" s="28">
        <f>E33-L33</f>
        <v/>
      </c>
      <c r="N33" s="28">
        <f>J33+K33+M33</f>
        <v/>
      </c>
      <c r="O33" s="28">
        <f>F33-J33-K33</f>
        <v/>
      </c>
      <c r="P33" s="28">
        <f>I33+N33</f>
        <v/>
      </c>
      <c r="Q33" s="36">
        <f>(1+CF_Yield/12)^-A33</f>
        <v/>
      </c>
      <c r="R33" s="28">
        <f>P33*Q33</f>
        <v/>
      </c>
    </row>
    <row r="34">
      <c r="A34" s="26">
        <f>A33+1</f>
        <v/>
      </c>
      <c r="B34" s="28">
        <f>O33</f>
        <v/>
      </c>
      <c r="C34" s="33">
        <f>1-(1-CF_CPR)^(1/12)</f>
        <v/>
      </c>
      <c r="D34" s="33">
        <f>1-(1-CF_CDR)^(1/12)</f>
        <v/>
      </c>
      <c r="E34" s="28">
        <f>B34*D34</f>
        <v/>
      </c>
      <c r="F34" s="28">
        <f>B34-E34</f>
        <v/>
      </c>
      <c r="G34" s="28">
        <f>IF(F34&gt;0.005,PMT(WAC/12,Term-A34+1,-F34),0)</f>
        <v/>
      </c>
      <c r="H34" s="28">
        <f>F34*WAC/12</f>
        <v/>
      </c>
      <c r="I34" s="28">
        <f>F34*(WAC-ServFee)/12</f>
        <v/>
      </c>
      <c r="J34" s="28">
        <f>G34-H34</f>
        <v/>
      </c>
      <c r="K34" s="28">
        <f>(F34-J34)*C34</f>
        <v/>
      </c>
      <c r="L34" s="28">
        <f>E34*Severity</f>
        <v/>
      </c>
      <c r="M34" s="28">
        <f>E34-L34</f>
        <v/>
      </c>
      <c r="N34" s="28">
        <f>J34+K34+M34</f>
        <v/>
      </c>
      <c r="O34" s="28">
        <f>F34-J34-K34</f>
        <v/>
      </c>
      <c r="P34" s="28">
        <f>I34+N34</f>
        <v/>
      </c>
      <c r="Q34" s="36">
        <f>(1+CF_Yield/12)^-A34</f>
        <v/>
      </c>
      <c r="R34" s="28">
        <f>P34*Q34</f>
        <v/>
      </c>
    </row>
    <row r="35">
      <c r="A35" s="26">
        <f>A34+1</f>
        <v/>
      </c>
      <c r="B35" s="28">
        <f>O34</f>
        <v/>
      </c>
      <c r="C35" s="33">
        <f>1-(1-CF_CPR)^(1/12)</f>
        <v/>
      </c>
      <c r="D35" s="33">
        <f>1-(1-CF_CDR)^(1/12)</f>
        <v/>
      </c>
      <c r="E35" s="28">
        <f>B35*D35</f>
        <v/>
      </c>
      <c r="F35" s="28">
        <f>B35-E35</f>
        <v/>
      </c>
      <c r="G35" s="28">
        <f>IF(F35&gt;0.005,PMT(WAC/12,Term-A35+1,-F35),0)</f>
        <v/>
      </c>
      <c r="H35" s="28">
        <f>F35*WAC/12</f>
        <v/>
      </c>
      <c r="I35" s="28">
        <f>F35*(WAC-ServFee)/12</f>
        <v/>
      </c>
      <c r="J35" s="28">
        <f>G35-H35</f>
        <v/>
      </c>
      <c r="K35" s="28">
        <f>(F35-J35)*C35</f>
        <v/>
      </c>
      <c r="L35" s="28">
        <f>E35*Severity</f>
        <v/>
      </c>
      <c r="M35" s="28">
        <f>E35-L35</f>
        <v/>
      </c>
      <c r="N35" s="28">
        <f>J35+K35+M35</f>
        <v/>
      </c>
      <c r="O35" s="28">
        <f>F35-J35-K35</f>
        <v/>
      </c>
      <c r="P35" s="28">
        <f>I35+N35</f>
        <v/>
      </c>
      <c r="Q35" s="36">
        <f>(1+CF_Yield/12)^-A35</f>
        <v/>
      </c>
      <c r="R35" s="28">
        <f>P35*Q35</f>
        <v/>
      </c>
    </row>
    <row r="36">
      <c r="A36" s="26">
        <f>A35+1</f>
        <v/>
      </c>
      <c r="B36" s="28">
        <f>O35</f>
        <v/>
      </c>
      <c r="C36" s="33">
        <f>1-(1-CF_CPR)^(1/12)</f>
        <v/>
      </c>
      <c r="D36" s="33">
        <f>1-(1-CF_CDR)^(1/12)</f>
        <v/>
      </c>
      <c r="E36" s="28">
        <f>B36*D36</f>
        <v/>
      </c>
      <c r="F36" s="28">
        <f>B36-E36</f>
        <v/>
      </c>
      <c r="G36" s="28">
        <f>IF(F36&gt;0.005,PMT(WAC/12,Term-A36+1,-F36),0)</f>
        <v/>
      </c>
      <c r="H36" s="28">
        <f>F36*WAC/12</f>
        <v/>
      </c>
      <c r="I36" s="28">
        <f>F36*(WAC-ServFee)/12</f>
        <v/>
      </c>
      <c r="J36" s="28">
        <f>G36-H36</f>
        <v/>
      </c>
      <c r="K36" s="28">
        <f>(F36-J36)*C36</f>
        <v/>
      </c>
      <c r="L36" s="28">
        <f>E36*Severity</f>
        <v/>
      </c>
      <c r="M36" s="28">
        <f>E36-L36</f>
        <v/>
      </c>
      <c r="N36" s="28">
        <f>J36+K36+M36</f>
        <v/>
      </c>
      <c r="O36" s="28">
        <f>F36-J36-K36</f>
        <v/>
      </c>
      <c r="P36" s="28">
        <f>I36+N36</f>
        <v/>
      </c>
      <c r="Q36" s="36">
        <f>(1+CF_Yield/12)^-A36</f>
        <v/>
      </c>
      <c r="R36" s="28">
        <f>P36*Q36</f>
        <v/>
      </c>
    </row>
    <row r="37">
      <c r="A37" s="26">
        <f>A36+1</f>
        <v/>
      </c>
      <c r="B37" s="28">
        <f>O36</f>
        <v/>
      </c>
      <c r="C37" s="33">
        <f>1-(1-CF_CPR)^(1/12)</f>
        <v/>
      </c>
      <c r="D37" s="33">
        <f>1-(1-CF_CDR)^(1/12)</f>
        <v/>
      </c>
      <c r="E37" s="28">
        <f>B37*D37</f>
        <v/>
      </c>
      <c r="F37" s="28">
        <f>B37-E37</f>
        <v/>
      </c>
      <c r="G37" s="28">
        <f>IF(F37&gt;0.005,PMT(WAC/12,Term-A37+1,-F37),0)</f>
        <v/>
      </c>
      <c r="H37" s="28">
        <f>F37*WAC/12</f>
        <v/>
      </c>
      <c r="I37" s="28">
        <f>F37*(WAC-ServFee)/12</f>
        <v/>
      </c>
      <c r="J37" s="28">
        <f>G37-H37</f>
        <v/>
      </c>
      <c r="K37" s="28">
        <f>(F37-J37)*C37</f>
        <v/>
      </c>
      <c r="L37" s="28">
        <f>E37*Severity</f>
        <v/>
      </c>
      <c r="M37" s="28">
        <f>E37-L37</f>
        <v/>
      </c>
      <c r="N37" s="28">
        <f>J37+K37+M37</f>
        <v/>
      </c>
      <c r="O37" s="28">
        <f>F37-J37-K37</f>
        <v/>
      </c>
      <c r="P37" s="28">
        <f>I37+N37</f>
        <v/>
      </c>
      <c r="Q37" s="36">
        <f>(1+CF_Yield/12)^-A37</f>
        <v/>
      </c>
      <c r="R37" s="28">
        <f>P37*Q37</f>
        <v/>
      </c>
    </row>
    <row r="38">
      <c r="A38" s="26">
        <f>A37+1</f>
        <v/>
      </c>
      <c r="B38" s="28">
        <f>O37</f>
        <v/>
      </c>
      <c r="C38" s="33">
        <f>1-(1-CF_CPR)^(1/12)</f>
        <v/>
      </c>
      <c r="D38" s="33">
        <f>1-(1-CF_CDR)^(1/12)</f>
        <v/>
      </c>
      <c r="E38" s="28">
        <f>B38*D38</f>
        <v/>
      </c>
      <c r="F38" s="28">
        <f>B38-E38</f>
        <v/>
      </c>
      <c r="G38" s="28">
        <f>IF(F38&gt;0.005,PMT(WAC/12,Term-A38+1,-F38),0)</f>
        <v/>
      </c>
      <c r="H38" s="28">
        <f>F38*WAC/12</f>
        <v/>
      </c>
      <c r="I38" s="28">
        <f>F38*(WAC-ServFee)/12</f>
        <v/>
      </c>
      <c r="J38" s="28">
        <f>G38-H38</f>
        <v/>
      </c>
      <c r="K38" s="28">
        <f>(F38-J38)*C38</f>
        <v/>
      </c>
      <c r="L38" s="28">
        <f>E38*Severity</f>
        <v/>
      </c>
      <c r="M38" s="28">
        <f>E38-L38</f>
        <v/>
      </c>
      <c r="N38" s="28">
        <f>J38+K38+M38</f>
        <v/>
      </c>
      <c r="O38" s="28">
        <f>F38-J38-K38</f>
        <v/>
      </c>
      <c r="P38" s="28">
        <f>I38+N38</f>
        <v/>
      </c>
      <c r="Q38" s="36">
        <f>(1+CF_Yield/12)^-A38</f>
        <v/>
      </c>
      <c r="R38" s="28">
        <f>P38*Q38</f>
        <v/>
      </c>
    </row>
    <row r="39">
      <c r="A39" s="26">
        <f>A38+1</f>
        <v/>
      </c>
      <c r="B39" s="28">
        <f>O38</f>
        <v/>
      </c>
      <c r="C39" s="33">
        <f>1-(1-CF_CPR)^(1/12)</f>
        <v/>
      </c>
      <c r="D39" s="33">
        <f>1-(1-CF_CDR)^(1/12)</f>
        <v/>
      </c>
      <c r="E39" s="28">
        <f>B39*D39</f>
        <v/>
      </c>
      <c r="F39" s="28">
        <f>B39-E39</f>
        <v/>
      </c>
      <c r="G39" s="28">
        <f>IF(F39&gt;0.005,PMT(WAC/12,Term-A39+1,-F39),0)</f>
        <v/>
      </c>
      <c r="H39" s="28">
        <f>F39*WAC/12</f>
        <v/>
      </c>
      <c r="I39" s="28">
        <f>F39*(WAC-ServFee)/12</f>
        <v/>
      </c>
      <c r="J39" s="28">
        <f>G39-H39</f>
        <v/>
      </c>
      <c r="K39" s="28">
        <f>(F39-J39)*C39</f>
        <v/>
      </c>
      <c r="L39" s="28">
        <f>E39*Severity</f>
        <v/>
      </c>
      <c r="M39" s="28">
        <f>E39-L39</f>
        <v/>
      </c>
      <c r="N39" s="28">
        <f>J39+K39+M39</f>
        <v/>
      </c>
      <c r="O39" s="28">
        <f>F39-J39-K39</f>
        <v/>
      </c>
      <c r="P39" s="28">
        <f>I39+N39</f>
        <v/>
      </c>
      <c r="Q39" s="36">
        <f>(1+CF_Yield/12)^-A39</f>
        <v/>
      </c>
      <c r="R39" s="28">
        <f>P39*Q39</f>
        <v/>
      </c>
    </row>
    <row r="40">
      <c r="A40" s="26">
        <f>A39+1</f>
        <v/>
      </c>
      <c r="B40" s="28">
        <f>O39</f>
        <v/>
      </c>
      <c r="C40" s="33">
        <f>1-(1-CF_CPR)^(1/12)</f>
        <v/>
      </c>
      <c r="D40" s="33">
        <f>1-(1-CF_CDR)^(1/12)</f>
        <v/>
      </c>
      <c r="E40" s="28">
        <f>B40*D40</f>
        <v/>
      </c>
      <c r="F40" s="28">
        <f>B40-E40</f>
        <v/>
      </c>
      <c r="G40" s="28">
        <f>IF(F40&gt;0.005,PMT(WAC/12,Term-A40+1,-F40),0)</f>
        <v/>
      </c>
      <c r="H40" s="28">
        <f>F40*WAC/12</f>
        <v/>
      </c>
      <c r="I40" s="28">
        <f>F40*(WAC-ServFee)/12</f>
        <v/>
      </c>
      <c r="J40" s="28">
        <f>G40-H40</f>
        <v/>
      </c>
      <c r="K40" s="28">
        <f>(F40-J40)*C40</f>
        <v/>
      </c>
      <c r="L40" s="28">
        <f>E40*Severity</f>
        <v/>
      </c>
      <c r="M40" s="28">
        <f>E40-L40</f>
        <v/>
      </c>
      <c r="N40" s="28">
        <f>J40+K40+M40</f>
        <v/>
      </c>
      <c r="O40" s="28">
        <f>F40-J40-K40</f>
        <v/>
      </c>
      <c r="P40" s="28">
        <f>I40+N40</f>
        <v/>
      </c>
      <c r="Q40" s="36">
        <f>(1+CF_Yield/12)^-A40</f>
        <v/>
      </c>
      <c r="R40" s="28">
        <f>P40*Q40</f>
        <v/>
      </c>
    </row>
    <row r="41">
      <c r="A41" s="26">
        <f>A40+1</f>
        <v/>
      </c>
      <c r="B41" s="28">
        <f>O40</f>
        <v/>
      </c>
      <c r="C41" s="33">
        <f>1-(1-CF_CPR)^(1/12)</f>
        <v/>
      </c>
      <c r="D41" s="33">
        <f>1-(1-CF_CDR)^(1/12)</f>
        <v/>
      </c>
      <c r="E41" s="28">
        <f>B41*D41</f>
        <v/>
      </c>
      <c r="F41" s="28">
        <f>B41-E41</f>
        <v/>
      </c>
      <c r="G41" s="28">
        <f>IF(F41&gt;0.005,PMT(WAC/12,Term-A41+1,-F41),0)</f>
        <v/>
      </c>
      <c r="H41" s="28">
        <f>F41*WAC/12</f>
        <v/>
      </c>
      <c r="I41" s="28">
        <f>F41*(WAC-ServFee)/12</f>
        <v/>
      </c>
      <c r="J41" s="28">
        <f>G41-H41</f>
        <v/>
      </c>
      <c r="K41" s="28">
        <f>(F41-J41)*C41</f>
        <v/>
      </c>
      <c r="L41" s="28">
        <f>E41*Severity</f>
        <v/>
      </c>
      <c r="M41" s="28">
        <f>E41-L41</f>
        <v/>
      </c>
      <c r="N41" s="28">
        <f>J41+K41+M41</f>
        <v/>
      </c>
      <c r="O41" s="28">
        <f>F41-J41-K41</f>
        <v/>
      </c>
      <c r="P41" s="28">
        <f>I41+N41</f>
        <v/>
      </c>
      <c r="Q41" s="36">
        <f>(1+CF_Yield/12)^-A41</f>
        <v/>
      </c>
      <c r="R41" s="28">
        <f>P41*Q41</f>
        <v/>
      </c>
    </row>
    <row r="42">
      <c r="A42" s="26">
        <f>A41+1</f>
        <v/>
      </c>
      <c r="B42" s="28">
        <f>O41</f>
        <v/>
      </c>
      <c r="C42" s="33">
        <f>1-(1-CF_CPR)^(1/12)</f>
        <v/>
      </c>
      <c r="D42" s="33">
        <f>1-(1-CF_CDR)^(1/12)</f>
        <v/>
      </c>
      <c r="E42" s="28">
        <f>B42*D42</f>
        <v/>
      </c>
      <c r="F42" s="28">
        <f>B42-E42</f>
        <v/>
      </c>
      <c r="G42" s="28">
        <f>IF(F42&gt;0.005,PMT(WAC/12,Term-A42+1,-F42),0)</f>
        <v/>
      </c>
      <c r="H42" s="28">
        <f>F42*WAC/12</f>
        <v/>
      </c>
      <c r="I42" s="28">
        <f>F42*(WAC-ServFee)/12</f>
        <v/>
      </c>
      <c r="J42" s="28">
        <f>G42-H42</f>
        <v/>
      </c>
      <c r="K42" s="28">
        <f>(F42-J42)*C42</f>
        <v/>
      </c>
      <c r="L42" s="28">
        <f>E42*Severity</f>
        <v/>
      </c>
      <c r="M42" s="28">
        <f>E42-L42</f>
        <v/>
      </c>
      <c r="N42" s="28">
        <f>J42+K42+M42</f>
        <v/>
      </c>
      <c r="O42" s="28">
        <f>F42-J42-K42</f>
        <v/>
      </c>
      <c r="P42" s="28">
        <f>I42+N42</f>
        <v/>
      </c>
      <c r="Q42" s="36">
        <f>(1+CF_Yield/12)^-A42</f>
        <v/>
      </c>
      <c r="R42" s="28">
        <f>P42*Q42</f>
        <v/>
      </c>
    </row>
    <row r="43">
      <c r="A43" s="26">
        <f>A42+1</f>
        <v/>
      </c>
      <c r="B43" s="28">
        <f>O42</f>
        <v/>
      </c>
      <c r="C43" s="33">
        <f>1-(1-CF_CPR)^(1/12)</f>
        <v/>
      </c>
      <c r="D43" s="33">
        <f>1-(1-CF_CDR)^(1/12)</f>
        <v/>
      </c>
      <c r="E43" s="28">
        <f>B43*D43</f>
        <v/>
      </c>
      <c r="F43" s="28">
        <f>B43-E43</f>
        <v/>
      </c>
      <c r="G43" s="28">
        <f>IF(F43&gt;0.005,PMT(WAC/12,Term-A43+1,-F43),0)</f>
        <v/>
      </c>
      <c r="H43" s="28">
        <f>F43*WAC/12</f>
        <v/>
      </c>
      <c r="I43" s="28">
        <f>F43*(WAC-ServFee)/12</f>
        <v/>
      </c>
      <c r="J43" s="28">
        <f>G43-H43</f>
        <v/>
      </c>
      <c r="K43" s="28">
        <f>(F43-J43)*C43</f>
        <v/>
      </c>
      <c r="L43" s="28">
        <f>E43*Severity</f>
        <v/>
      </c>
      <c r="M43" s="28">
        <f>E43-L43</f>
        <v/>
      </c>
      <c r="N43" s="28">
        <f>J43+K43+M43</f>
        <v/>
      </c>
      <c r="O43" s="28">
        <f>F43-J43-K43</f>
        <v/>
      </c>
      <c r="P43" s="28">
        <f>I43+N43</f>
        <v/>
      </c>
      <c r="Q43" s="36">
        <f>(1+CF_Yield/12)^-A43</f>
        <v/>
      </c>
      <c r="R43" s="28">
        <f>P43*Q43</f>
        <v/>
      </c>
    </row>
    <row r="44">
      <c r="A44" s="26">
        <f>A43+1</f>
        <v/>
      </c>
      <c r="B44" s="28">
        <f>O43</f>
        <v/>
      </c>
      <c r="C44" s="33">
        <f>1-(1-CF_CPR)^(1/12)</f>
        <v/>
      </c>
      <c r="D44" s="33">
        <f>1-(1-CF_CDR)^(1/12)</f>
        <v/>
      </c>
      <c r="E44" s="28">
        <f>B44*D44</f>
        <v/>
      </c>
      <c r="F44" s="28">
        <f>B44-E44</f>
        <v/>
      </c>
      <c r="G44" s="28">
        <f>IF(F44&gt;0.005,PMT(WAC/12,Term-A44+1,-F44),0)</f>
        <v/>
      </c>
      <c r="H44" s="28">
        <f>F44*WAC/12</f>
        <v/>
      </c>
      <c r="I44" s="28">
        <f>F44*(WAC-ServFee)/12</f>
        <v/>
      </c>
      <c r="J44" s="28">
        <f>G44-H44</f>
        <v/>
      </c>
      <c r="K44" s="28">
        <f>(F44-J44)*C44</f>
        <v/>
      </c>
      <c r="L44" s="28">
        <f>E44*Severity</f>
        <v/>
      </c>
      <c r="M44" s="28">
        <f>E44-L44</f>
        <v/>
      </c>
      <c r="N44" s="28">
        <f>J44+K44+M44</f>
        <v/>
      </c>
      <c r="O44" s="28">
        <f>F44-J44-K44</f>
        <v/>
      </c>
      <c r="P44" s="28">
        <f>I44+N44</f>
        <v/>
      </c>
      <c r="Q44" s="36">
        <f>(1+CF_Yield/12)^-A44</f>
        <v/>
      </c>
      <c r="R44" s="28">
        <f>P44*Q44</f>
        <v/>
      </c>
    </row>
    <row r="45">
      <c r="A45" s="26">
        <f>A44+1</f>
        <v/>
      </c>
      <c r="B45" s="28">
        <f>O44</f>
        <v/>
      </c>
      <c r="C45" s="33">
        <f>1-(1-CF_CPR)^(1/12)</f>
        <v/>
      </c>
      <c r="D45" s="33">
        <f>1-(1-CF_CDR)^(1/12)</f>
        <v/>
      </c>
      <c r="E45" s="28">
        <f>B45*D45</f>
        <v/>
      </c>
      <c r="F45" s="28">
        <f>B45-E45</f>
        <v/>
      </c>
      <c r="G45" s="28">
        <f>IF(F45&gt;0.005,PMT(WAC/12,Term-A45+1,-F45),0)</f>
        <v/>
      </c>
      <c r="H45" s="28">
        <f>F45*WAC/12</f>
        <v/>
      </c>
      <c r="I45" s="28">
        <f>F45*(WAC-ServFee)/12</f>
        <v/>
      </c>
      <c r="J45" s="28">
        <f>G45-H45</f>
        <v/>
      </c>
      <c r="K45" s="28">
        <f>(F45-J45)*C45</f>
        <v/>
      </c>
      <c r="L45" s="28">
        <f>E45*Severity</f>
        <v/>
      </c>
      <c r="M45" s="28">
        <f>E45-L45</f>
        <v/>
      </c>
      <c r="N45" s="28">
        <f>J45+K45+M45</f>
        <v/>
      </c>
      <c r="O45" s="28">
        <f>F45-J45-K45</f>
        <v/>
      </c>
      <c r="P45" s="28">
        <f>I45+N45</f>
        <v/>
      </c>
      <c r="Q45" s="36">
        <f>(1+CF_Yield/12)^-A45</f>
        <v/>
      </c>
      <c r="R45" s="28">
        <f>P45*Q45</f>
        <v/>
      </c>
    </row>
    <row r="46">
      <c r="A46" s="26">
        <f>A45+1</f>
        <v/>
      </c>
      <c r="B46" s="28">
        <f>O45</f>
        <v/>
      </c>
      <c r="C46" s="33">
        <f>1-(1-CF_CPR)^(1/12)</f>
        <v/>
      </c>
      <c r="D46" s="33">
        <f>1-(1-CF_CDR)^(1/12)</f>
        <v/>
      </c>
      <c r="E46" s="28">
        <f>B46*D46</f>
        <v/>
      </c>
      <c r="F46" s="28">
        <f>B46-E46</f>
        <v/>
      </c>
      <c r="G46" s="28">
        <f>IF(F46&gt;0.005,PMT(WAC/12,Term-A46+1,-F46),0)</f>
        <v/>
      </c>
      <c r="H46" s="28">
        <f>F46*WAC/12</f>
        <v/>
      </c>
      <c r="I46" s="28">
        <f>F46*(WAC-ServFee)/12</f>
        <v/>
      </c>
      <c r="J46" s="28">
        <f>G46-H46</f>
        <v/>
      </c>
      <c r="K46" s="28">
        <f>(F46-J46)*C46</f>
        <v/>
      </c>
      <c r="L46" s="28">
        <f>E46*Severity</f>
        <v/>
      </c>
      <c r="M46" s="28">
        <f>E46-L46</f>
        <v/>
      </c>
      <c r="N46" s="28">
        <f>J46+K46+M46</f>
        <v/>
      </c>
      <c r="O46" s="28">
        <f>F46-J46-K46</f>
        <v/>
      </c>
      <c r="P46" s="28">
        <f>I46+N46</f>
        <v/>
      </c>
      <c r="Q46" s="36">
        <f>(1+CF_Yield/12)^-A46</f>
        <v/>
      </c>
      <c r="R46" s="28">
        <f>P46*Q46</f>
        <v/>
      </c>
    </row>
    <row r="47">
      <c r="A47" s="26">
        <f>A46+1</f>
        <v/>
      </c>
      <c r="B47" s="28">
        <f>O46</f>
        <v/>
      </c>
      <c r="C47" s="33">
        <f>1-(1-CF_CPR)^(1/12)</f>
        <v/>
      </c>
      <c r="D47" s="33">
        <f>1-(1-CF_CDR)^(1/12)</f>
        <v/>
      </c>
      <c r="E47" s="28">
        <f>B47*D47</f>
        <v/>
      </c>
      <c r="F47" s="28">
        <f>B47-E47</f>
        <v/>
      </c>
      <c r="G47" s="28">
        <f>IF(F47&gt;0.005,PMT(WAC/12,Term-A47+1,-F47),0)</f>
        <v/>
      </c>
      <c r="H47" s="28">
        <f>F47*WAC/12</f>
        <v/>
      </c>
      <c r="I47" s="28">
        <f>F47*(WAC-ServFee)/12</f>
        <v/>
      </c>
      <c r="J47" s="28">
        <f>G47-H47</f>
        <v/>
      </c>
      <c r="K47" s="28">
        <f>(F47-J47)*C47</f>
        <v/>
      </c>
      <c r="L47" s="28">
        <f>E47*Severity</f>
        <v/>
      </c>
      <c r="M47" s="28">
        <f>E47-L47</f>
        <v/>
      </c>
      <c r="N47" s="28">
        <f>J47+K47+M47</f>
        <v/>
      </c>
      <c r="O47" s="28">
        <f>F47-J47-K47</f>
        <v/>
      </c>
      <c r="P47" s="28">
        <f>I47+N47</f>
        <v/>
      </c>
      <c r="Q47" s="36">
        <f>(1+CF_Yield/12)^-A47</f>
        <v/>
      </c>
      <c r="R47" s="28">
        <f>P47*Q47</f>
        <v/>
      </c>
    </row>
    <row r="48">
      <c r="A48" s="26">
        <f>A47+1</f>
        <v/>
      </c>
      <c r="B48" s="28">
        <f>O47</f>
        <v/>
      </c>
      <c r="C48" s="33">
        <f>1-(1-CF_CPR)^(1/12)</f>
        <v/>
      </c>
      <c r="D48" s="33">
        <f>1-(1-CF_CDR)^(1/12)</f>
        <v/>
      </c>
      <c r="E48" s="28">
        <f>B48*D48</f>
        <v/>
      </c>
      <c r="F48" s="28">
        <f>B48-E48</f>
        <v/>
      </c>
      <c r="G48" s="28">
        <f>IF(F48&gt;0.005,PMT(WAC/12,Term-A48+1,-F48),0)</f>
        <v/>
      </c>
      <c r="H48" s="28">
        <f>F48*WAC/12</f>
        <v/>
      </c>
      <c r="I48" s="28">
        <f>F48*(WAC-ServFee)/12</f>
        <v/>
      </c>
      <c r="J48" s="28">
        <f>G48-H48</f>
        <v/>
      </c>
      <c r="K48" s="28">
        <f>(F48-J48)*C48</f>
        <v/>
      </c>
      <c r="L48" s="28">
        <f>E48*Severity</f>
        <v/>
      </c>
      <c r="M48" s="28">
        <f>E48-L48</f>
        <v/>
      </c>
      <c r="N48" s="28">
        <f>J48+K48+M48</f>
        <v/>
      </c>
      <c r="O48" s="28">
        <f>F48-J48-K48</f>
        <v/>
      </c>
      <c r="P48" s="28">
        <f>I48+N48</f>
        <v/>
      </c>
      <c r="Q48" s="36">
        <f>(1+CF_Yield/12)^-A48</f>
        <v/>
      </c>
      <c r="R48" s="28">
        <f>P48*Q48</f>
        <v/>
      </c>
    </row>
    <row r="49">
      <c r="A49" s="26">
        <f>A48+1</f>
        <v/>
      </c>
      <c r="B49" s="28">
        <f>O48</f>
        <v/>
      </c>
      <c r="C49" s="33">
        <f>1-(1-CF_CPR)^(1/12)</f>
        <v/>
      </c>
      <c r="D49" s="33">
        <f>1-(1-CF_CDR)^(1/12)</f>
        <v/>
      </c>
      <c r="E49" s="28">
        <f>B49*D49</f>
        <v/>
      </c>
      <c r="F49" s="28">
        <f>B49-E49</f>
        <v/>
      </c>
      <c r="G49" s="28">
        <f>IF(F49&gt;0.005,PMT(WAC/12,Term-A49+1,-F49),0)</f>
        <v/>
      </c>
      <c r="H49" s="28">
        <f>F49*WAC/12</f>
        <v/>
      </c>
      <c r="I49" s="28">
        <f>F49*(WAC-ServFee)/12</f>
        <v/>
      </c>
      <c r="J49" s="28">
        <f>G49-H49</f>
        <v/>
      </c>
      <c r="K49" s="28">
        <f>(F49-J49)*C49</f>
        <v/>
      </c>
      <c r="L49" s="28">
        <f>E49*Severity</f>
        <v/>
      </c>
      <c r="M49" s="28">
        <f>E49-L49</f>
        <v/>
      </c>
      <c r="N49" s="28">
        <f>J49+K49+M49</f>
        <v/>
      </c>
      <c r="O49" s="28">
        <f>F49-J49-K49</f>
        <v/>
      </c>
      <c r="P49" s="28">
        <f>I49+N49</f>
        <v/>
      </c>
      <c r="Q49" s="36">
        <f>(1+CF_Yield/12)^-A49</f>
        <v/>
      </c>
      <c r="R49" s="28">
        <f>P49*Q49</f>
        <v/>
      </c>
    </row>
    <row r="50">
      <c r="A50" s="26">
        <f>A49+1</f>
        <v/>
      </c>
      <c r="B50" s="28">
        <f>O49</f>
        <v/>
      </c>
      <c r="C50" s="33">
        <f>1-(1-CF_CPR)^(1/12)</f>
        <v/>
      </c>
      <c r="D50" s="33">
        <f>1-(1-CF_CDR)^(1/12)</f>
        <v/>
      </c>
      <c r="E50" s="28">
        <f>B50*D50</f>
        <v/>
      </c>
      <c r="F50" s="28">
        <f>B50-E50</f>
        <v/>
      </c>
      <c r="G50" s="28">
        <f>IF(F50&gt;0.005,PMT(WAC/12,Term-A50+1,-F50),0)</f>
        <v/>
      </c>
      <c r="H50" s="28">
        <f>F50*WAC/12</f>
        <v/>
      </c>
      <c r="I50" s="28">
        <f>F50*(WAC-ServFee)/12</f>
        <v/>
      </c>
      <c r="J50" s="28">
        <f>G50-H50</f>
        <v/>
      </c>
      <c r="K50" s="28">
        <f>(F50-J50)*C50</f>
        <v/>
      </c>
      <c r="L50" s="28">
        <f>E50*Severity</f>
        <v/>
      </c>
      <c r="M50" s="28">
        <f>E50-L50</f>
        <v/>
      </c>
      <c r="N50" s="28">
        <f>J50+K50+M50</f>
        <v/>
      </c>
      <c r="O50" s="28">
        <f>F50-J50-K50</f>
        <v/>
      </c>
      <c r="P50" s="28">
        <f>I50+N50</f>
        <v/>
      </c>
      <c r="Q50" s="36">
        <f>(1+CF_Yield/12)^-A50</f>
        <v/>
      </c>
      <c r="R50" s="28">
        <f>P50*Q50</f>
        <v/>
      </c>
    </row>
    <row r="51">
      <c r="A51" s="26">
        <f>A50+1</f>
        <v/>
      </c>
      <c r="B51" s="28">
        <f>O50</f>
        <v/>
      </c>
      <c r="C51" s="33">
        <f>1-(1-CF_CPR)^(1/12)</f>
        <v/>
      </c>
      <c r="D51" s="33">
        <f>1-(1-CF_CDR)^(1/12)</f>
        <v/>
      </c>
      <c r="E51" s="28">
        <f>B51*D51</f>
        <v/>
      </c>
      <c r="F51" s="28">
        <f>B51-E51</f>
        <v/>
      </c>
      <c r="G51" s="28">
        <f>IF(F51&gt;0.005,PMT(WAC/12,Term-A51+1,-F51),0)</f>
        <v/>
      </c>
      <c r="H51" s="28">
        <f>F51*WAC/12</f>
        <v/>
      </c>
      <c r="I51" s="28">
        <f>F51*(WAC-ServFee)/12</f>
        <v/>
      </c>
      <c r="J51" s="28">
        <f>G51-H51</f>
        <v/>
      </c>
      <c r="K51" s="28">
        <f>(F51-J51)*C51</f>
        <v/>
      </c>
      <c r="L51" s="28">
        <f>E51*Severity</f>
        <v/>
      </c>
      <c r="M51" s="28">
        <f>E51-L51</f>
        <v/>
      </c>
      <c r="N51" s="28">
        <f>J51+K51+M51</f>
        <v/>
      </c>
      <c r="O51" s="28">
        <f>F51-J51-K51</f>
        <v/>
      </c>
      <c r="P51" s="28">
        <f>I51+N51</f>
        <v/>
      </c>
      <c r="Q51" s="36">
        <f>(1+CF_Yield/12)^-A51</f>
        <v/>
      </c>
      <c r="R51" s="28">
        <f>P51*Q51</f>
        <v/>
      </c>
    </row>
    <row r="52">
      <c r="A52" s="26">
        <f>A51+1</f>
        <v/>
      </c>
      <c r="B52" s="28">
        <f>O51</f>
        <v/>
      </c>
      <c r="C52" s="33">
        <f>1-(1-CF_CPR)^(1/12)</f>
        <v/>
      </c>
      <c r="D52" s="33">
        <f>1-(1-CF_CDR)^(1/12)</f>
        <v/>
      </c>
      <c r="E52" s="28">
        <f>B52*D52</f>
        <v/>
      </c>
      <c r="F52" s="28">
        <f>B52-E52</f>
        <v/>
      </c>
      <c r="G52" s="28">
        <f>IF(F52&gt;0.005,PMT(WAC/12,Term-A52+1,-F52),0)</f>
        <v/>
      </c>
      <c r="H52" s="28">
        <f>F52*WAC/12</f>
        <v/>
      </c>
      <c r="I52" s="28">
        <f>F52*(WAC-ServFee)/12</f>
        <v/>
      </c>
      <c r="J52" s="28">
        <f>G52-H52</f>
        <v/>
      </c>
      <c r="K52" s="28">
        <f>(F52-J52)*C52</f>
        <v/>
      </c>
      <c r="L52" s="28">
        <f>E52*Severity</f>
        <v/>
      </c>
      <c r="M52" s="28">
        <f>E52-L52</f>
        <v/>
      </c>
      <c r="N52" s="28">
        <f>J52+K52+M52</f>
        <v/>
      </c>
      <c r="O52" s="28">
        <f>F52-J52-K52</f>
        <v/>
      </c>
      <c r="P52" s="28">
        <f>I52+N52</f>
        <v/>
      </c>
      <c r="Q52" s="36">
        <f>(1+CF_Yield/12)^-A52</f>
        <v/>
      </c>
      <c r="R52" s="28">
        <f>P52*Q52</f>
        <v/>
      </c>
    </row>
    <row r="53">
      <c r="A53" s="26">
        <f>A52+1</f>
        <v/>
      </c>
      <c r="B53" s="28">
        <f>O52</f>
        <v/>
      </c>
      <c r="C53" s="33">
        <f>1-(1-CF_CPR)^(1/12)</f>
        <v/>
      </c>
      <c r="D53" s="33">
        <f>1-(1-CF_CDR)^(1/12)</f>
        <v/>
      </c>
      <c r="E53" s="28">
        <f>B53*D53</f>
        <v/>
      </c>
      <c r="F53" s="28">
        <f>B53-E53</f>
        <v/>
      </c>
      <c r="G53" s="28">
        <f>IF(F53&gt;0.005,PMT(WAC/12,Term-A53+1,-F53),0)</f>
        <v/>
      </c>
      <c r="H53" s="28">
        <f>F53*WAC/12</f>
        <v/>
      </c>
      <c r="I53" s="28">
        <f>F53*(WAC-ServFee)/12</f>
        <v/>
      </c>
      <c r="J53" s="28">
        <f>G53-H53</f>
        <v/>
      </c>
      <c r="K53" s="28">
        <f>(F53-J53)*C53</f>
        <v/>
      </c>
      <c r="L53" s="28">
        <f>E53*Severity</f>
        <v/>
      </c>
      <c r="M53" s="28">
        <f>E53-L53</f>
        <v/>
      </c>
      <c r="N53" s="28">
        <f>J53+K53+M53</f>
        <v/>
      </c>
      <c r="O53" s="28">
        <f>F53-J53-K53</f>
        <v/>
      </c>
      <c r="P53" s="28">
        <f>I53+N53</f>
        <v/>
      </c>
      <c r="Q53" s="36">
        <f>(1+CF_Yield/12)^-A53</f>
        <v/>
      </c>
      <c r="R53" s="28">
        <f>P53*Q53</f>
        <v/>
      </c>
    </row>
    <row r="54">
      <c r="A54" s="26">
        <f>A53+1</f>
        <v/>
      </c>
      <c r="B54" s="28">
        <f>O53</f>
        <v/>
      </c>
      <c r="C54" s="33">
        <f>1-(1-CF_CPR)^(1/12)</f>
        <v/>
      </c>
      <c r="D54" s="33">
        <f>1-(1-CF_CDR)^(1/12)</f>
        <v/>
      </c>
      <c r="E54" s="28">
        <f>B54*D54</f>
        <v/>
      </c>
      <c r="F54" s="28">
        <f>B54-E54</f>
        <v/>
      </c>
      <c r="G54" s="28">
        <f>IF(F54&gt;0.005,PMT(WAC/12,Term-A54+1,-F54),0)</f>
        <v/>
      </c>
      <c r="H54" s="28">
        <f>F54*WAC/12</f>
        <v/>
      </c>
      <c r="I54" s="28">
        <f>F54*(WAC-ServFee)/12</f>
        <v/>
      </c>
      <c r="J54" s="28">
        <f>G54-H54</f>
        <v/>
      </c>
      <c r="K54" s="28">
        <f>(F54-J54)*C54</f>
        <v/>
      </c>
      <c r="L54" s="28">
        <f>E54*Severity</f>
        <v/>
      </c>
      <c r="M54" s="28">
        <f>E54-L54</f>
        <v/>
      </c>
      <c r="N54" s="28">
        <f>J54+K54+M54</f>
        <v/>
      </c>
      <c r="O54" s="28">
        <f>F54-J54-K54</f>
        <v/>
      </c>
      <c r="P54" s="28">
        <f>I54+N54</f>
        <v/>
      </c>
      <c r="Q54" s="36">
        <f>(1+CF_Yield/12)^-A54</f>
        <v/>
      </c>
      <c r="R54" s="28">
        <f>P54*Q54</f>
        <v/>
      </c>
    </row>
    <row r="55">
      <c r="A55" s="26">
        <f>A54+1</f>
        <v/>
      </c>
      <c r="B55" s="28">
        <f>O54</f>
        <v/>
      </c>
      <c r="C55" s="33">
        <f>1-(1-CF_CPR)^(1/12)</f>
        <v/>
      </c>
      <c r="D55" s="33">
        <f>1-(1-CF_CDR)^(1/12)</f>
        <v/>
      </c>
      <c r="E55" s="28">
        <f>B55*D55</f>
        <v/>
      </c>
      <c r="F55" s="28">
        <f>B55-E55</f>
        <v/>
      </c>
      <c r="G55" s="28">
        <f>IF(F55&gt;0.005,PMT(WAC/12,Term-A55+1,-F55),0)</f>
        <v/>
      </c>
      <c r="H55" s="28">
        <f>F55*WAC/12</f>
        <v/>
      </c>
      <c r="I55" s="28">
        <f>F55*(WAC-ServFee)/12</f>
        <v/>
      </c>
      <c r="J55" s="28">
        <f>G55-H55</f>
        <v/>
      </c>
      <c r="K55" s="28">
        <f>(F55-J55)*C55</f>
        <v/>
      </c>
      <c r="L55" s="28">
        <f>E55*Severity</f>
        <v/>
      </c>
      <c r="M55" s="28">
        <f>E55-L55</f>
        <v/>
      </c>
      <c r="N55" s="28">
        <f>J55+K55+M55</f>
        <v/>
      </c>
      <c r="O55" s="28">
        <f>F55-J55-K55</f>
        <v/>
      </c>
      <c r="P55" s="28">
        <f>I55+N55</f>
        <v/>
      </c>
      <c r="Q55" s="36">
        <f>(1+CF_Yield/12)^-A55</f>
        <v/>
      </c>
      <c r="R55" s="28">
        <f>P55*Q55</f>
        <v/>
      </c>
    </row>
    <row r="56">
      <c r="A56" s="26">
        <f>A55+1</f>
        <v/>
      </c>
      <c r="B56" s="28">
        <f>O55</f>
        <v/>
      </c>
      <c r="C56" s="33">
        <f>1-(1-CF_CPR)^(1/12)</f>
        <v/>
      </c>
      <c r="D56" s="33">
        <f>1-(1-CF_CDR)^(1/12)</f>
        <v/>
      </c>
      <c r="E56" s="28">
        <f>B56*D56</f>
        <v/>
      </c>
      <c r="F56" s="28">
        <f>B56-E56</f>
        <v/>
      </c>
      <c r="G56" s="28">
        <f>IF(F56&gt;0.005,PMT(WAC/12,Term-A56+1,-F56),0)</f>
        <v/>
      </c>
      <c r="H56" s="28">
        <f>F56*WAC/12</f>
        <v/>
      </c>
      <c r="I56" s="28">
        <f>F56*(WAC-ServFee)/12</f>
        <v/>
      </c>
      <c r="J56" s="28">
        <f>G56-H56</f>
        <v/>
      </c>
      <c r="K56" s="28">
        <f>(F56-J56)*C56</f>
        <v/>
      </c>
      <c r="L56" s="28">
        <f>E56*Severity</f>
        <v/>
      </c>
      <c r="M56" s="28">
        <f>E56-L56</f>
        <v/>
      </c>
      <c r="N56" s="28">
        <f>J56+K56+M56</f>
        <v/>
      </c>
      <c r="O56" s="28">
        <f>F56-J56-K56</f>
        <v/>
      </c>
      <c r="P56" s="28">
        <f>I56+N56</f>
        <v/>
      </c>
      <c r="Q56" s="36">
        <f>(1+CF_Yield/12)^-A56</f>
        <v/>
      </c>
      <c r="R56" s="28">
        <f>P56*Q56</f>
        <v/>
      </c>
    </row>
    <row r="57">
      <c r="A57" s="26">
        <f>A56+1</f>
        <v/>
      </c>
      <c r="B57" s="28">
        <f>O56</f>
        <v/>
      </c>
      <c r="C57" s="33">
        <f>1-(1-CF_CPR)^(1/12)</f>
        <v/>
      </c>
      <c r="D57" s="33">
        <f>1-(1-CF_CDR)^(1/12)</f>
        <v/>
      </c>
      <c r="E57" s="28">
        <f>B57*D57</f>
        <v/>
      </c>
      <c r="F57" s="28">
        <f>B57-E57</f>
        <v/>
      </c>
      <c r="G57" s="28">
        <f>IF(F57&gt;0.005,PMT(WAC/12,Term-A57+1,-F57),0)</f>
        <v/>
      </c>
      <c r="H57" s="28">
        <f>F57*WAC/12</f>
        <v/>
      </c>
      <c r="I57" s="28">
        <f>F57*(WAC-ServFee)/12</f>
        <v/>
      </c>
      <c r="J57" s="28">
        <f>G57-H57</f>
        <v/>
      </c>
      <c r="K57" s="28">
        <f>(F57-J57)*C57</f>
        <v/>
      </c>
      <c r="L57" s="28">
        <f>E57*Severity</f>
        <v/>
      </c>
      <c r="M57" s="28">
        <f>E57-L57</f>
        <v/>
      </c>
      <c r="N57" s="28">
        <f>J57+K57+M57</f>
        <v/>
      </c>
      <c r="O57" s="28">
        <f>F57-J57-K57</f>
        <v/>
      </c>
      <c r="P57" s="28">
        <f>I57+N57</f>
        <v/>
      </c>
      <c r="Q57" s="36">
        <f>(1+CF_Yield/12)^-A57</f>
        <v/>
      </c>
      <c r="R57" s="28">
        <f>P57*Q57</f>
        <v/>
      </c>
    </row>
    <row r="58">
      <c r="A58" s="26">
        <f>A57+1</f>
        <v/>
      </c>
      <c r="B58" s="28">
        <f>O57</f>
        <v/>
      </c>
      <c r="C58" s="33">
        <f>1-(1-CF_CPR)^(1/12)</f>
        <v/>
      </c>
      <c r="D58" s="33">
        <f>1-(1-CF_CDR)^(1/12)</f>
        <v/>
      </c>
      <c r="E58" s="28">
        <f>B58*D58</f>
        <v/>
      </c>
      <c r="F58" s="28">
        <f>B58-E58</f>
        <v/>
      </c>
      <c r="G58" s="28">
        <f>IF(F58&gt;0.005,PMT(WAC/12,Term-A58+1,-F58),0)</f>
        <v/>
      </c>
      <c r="H58" s="28">
        <f>F58*WAC/12</f>
        <v/>
      </c>
      <c r="I58" s="28">
        <f>F58*(WAC-ServFee)/12</f>
        <v/>
      </c>
      <c r="J58" s="28">
        <f>G58-H58</f>
        <v/>
      </c>
      <c r="K58" s="28">
        <f>(F58-J58)*C58</f>
        <v/>
      </c>
      <c r="L58" s="28">
        <f>E58*Severity</f>
        <v/>
      </c>
      <c r="M58" s="28">
        <f>E58-L58</f>
        <v/>
      </c>
      <c r="N58" s="28">
        <f>J58+K58+M58</f>
        <v/>
      </c>
      <c r="O58" s="28">
        <f>F58-J58-K58</f>
        <v/>
      </c>
      <c r="P58" s="28">
        <f>I58+N58</f>
        <v/>
      </c>
      <c r="Q58" s="36">
        <f>(1+CF_Yield/12)^-A58</f>
        <v/>
      </c>
      <c r="R58" s="28">
        <f>P58*Q58</f>
        <v/>
      </c>
    </row>
    <row r="59">
      <c r="A59" s="26">
        <f>A58+1</f>
        <v/>
      </c>
      <c r="B59" s="28">
        <f>O58</f>
        <v/>
      </c>
      <c r="C59" s="33">
        <f>1-(1-CF_CPR)^(1/12)</f>
        <v/>
      </c>
      <c r="D59" s="33">
        <f>1-(1-CF_CDR)^(1/12)</f>
        <v/>
      </c>
      <c r="E59" s="28">
        <f>B59*D59</f>
        <v/>
      </c>
      <c r="F59" s="28">
        <f>B59-E59</f>
        <v/>
      </c>
      <c r="G59" s="28">
        <f>IF(F59&gt;0.005,PMT(WAC/12,Term-A59+1,-F59),0)</f>
        <v/>
      </c>
      <c r="H59" s="28">
        <f>F59*WAC/12</f>
        <v/>
      </c>
      <c r="I59" s="28">
        <f>F59*(WAC-ServFee)/12</f>
        <v/>
      </c>
      <c r="J59" s="28">
        <f>G59-H59</f>
        <v/>
      </c>
      <c r="K59" s="28">
        <f>(F59-J59)*C59</f>
        <v/>
      </c>
      <c r="L59" s="28">
        <f>E59*Severity</f>
        <v/>
      </c>
      <c r="M59" s="28">
        <f>E59-L59</f>
        <v/>
      </c>
      <c r="N59" s="28">
        <f>J59+K59+M59</f>
        <v/>
      </c>
      <c r="O59" s="28">
        <f>F59-J59-K59</f>
        <v/>
      </c>
      <c r="P59" s="28">
        <f>I59+N59</f>
        <v/>
      </c>
      <c r="Q59" s="36">
        <f>(1+CF_Yield/12)^-A59</f>
        <v/>
      </c>
      <c r="R59" s="28">
        <f>P59*Q59</f>
        <v/>
      </c>
    </row>
    <row r="60">
      <c r="A60" s="26">
        <f>A59+1</f>
        <v/>
      </c>
      <c r="B60" s="28">
        <f>O59</f>
        <v/>
      </c>
      <c r="C60" s="33">
        <f>1-(1-CF_CPR)^(1/12)</f>
        <v/>
      </c>
      <c r="D60" s="33">
        <f>1-(1-CF_CDR)^(1/12)</f>
        <v/>
      </c>
      <c r="E60" s="28">
        <f>B60*D60</f>
        <v/>
      </c>
      <c r="F60" s="28">
        <f>B60-E60</f>
        <v/>
      </c>
      <c r="G60" s="28">
        <f>IF(F60&gt;0.005,PMT(WAC/12,Term-A60+1,-F60),0)</f>
        <v/>
      </c>
      <c r="H60" s="28">
        <f>F60*WAC/12</f>
        <v/>
      </c>
      <c r="I60" s="28">
        <f>F60*(WAC-ServFee)/12</f>
        <v/>
      </c>
      <c r="J60" s="28">
        <f>G60-H60</f>
        <v/>
      </c>
      <c r="K60" s="28">
        <f>(F60-J60)*C60</f>
        <v/>
      </c>
      <c r="L60" s="28">
        <f>E60*Severity</f>
        <v/>
      </c>
      <c r="M60" s="28">
        <f>E60-L60</f>
        <v/>
      </c>
      <c r="N60" s="28">
        <f>J60+K60+M60</f>
        <v/>
      </c>
      <c r="O60" s="28">
        <f>F60-J60-K60</f>
        <v/>
      </c>
      <c r="P60" s="28">
        <f>I60+N60</f>
        <v/>
      </c>
      <c r="Q60" s="36">
        <f>(1+CF_Yield/12)^-A60</f>
        <v/>
      </c>
      <c r="R60" s="28">
        <f>P60*Q60</f>
        <v/>
      </c>
    </row>
    <row r="61">
      <c r="A61" s="26">
        <f>A60+1</f>
        <v/>
      </c>
      <c r="B61" s="28">
        <f>O60</f>
        <v/>
      </c>
      <c r="C61" s="33">
        <f>1-(1-CF_CPR)^(1/12)</f>
        <v/>
      </c>
      <c r="D61" s="33">
        <f>1-(1-CF_CDR)^(1/12)</f>
        <v/>
      </c>
      <c r="E61" s="28">
        <f>B61*D61</f>
        <v/>
      </c>
      <c r="F61" s="28">
        <f>B61-E61</f>
        <v/>
      </c>
      <c r="G61" s="28">
        <f>IF(F61&gt;0.005,PMT(WAC/12,Term-A61+1,-F61),0)</f>
        <v/>
      </c>
      <c r="H61" s="28">
        <f>F61*WAC/12</f>
        <v/>
      </c>
      <c r="I61" s="28">
        <f>F61*(WAC-ServFee)/12</f>
        <v/>
      </c>
      <c r="J61" s="28">
        <f>G61-H61</f>
        <v/>
      </c>
      <c r="K61" s="28">
        <f>(F61-J61)*C61</f>
        <v/>
      </c>
      <c r="L61" s="28">
        <f>E61*Severity</f>
        <v/>
      </c>
      <c r="M61" s="28">
        <f>E61-L61</f>
        <v/>
      </c>
      <c r="N61" s="28">
        <f>J61+K61+M61</f>
        <v/>
      </c>
      <c r="O61" s="28">
        <f>F61-J61-K61</f>
        <v/>
      </c>
      <c r="P61" s="28">
        <f>I61+N61</f>
        <v/>
      </c>
      <c r="Q61" s="36">
        <f>(1+CF_Yield/12)^-A61</f>
        <v/>
      </c>
      <c r="R61" s="28">
        <f>P61*Q61</f>
        <v/>
      </c>
    </row>
    <row r="62">
      <c r="A62" s="26">
        <f>A61+1</f>
        <v/>
      </c>
      <c r="B62" s="28">
        <f>O61</f>
        <v/>
      </c>
      <c r="C62" s="33">
        <f>1-(1-CF_CPR)^(1/12)</f>
        <v/>
      </c>
      <c r="D62" s="33">
        <f>1-(1-CF_CDR)^(1/12)</f>
        <v/>
      </c>
      <c r="E62" s="28">
        <f>B62*D62</f>
        <v/>
      </c>
      <c r="F62" s="28">
        <f>B62-E62</f>
        <v/>
      </c>
      <c r="G62" s="28">
        <f>IF(F62&gt;0.005,PMT(WAC/12,Term-A62+1,-F62),0)</f>
        <v/>
      </c>
      <c r="H62" s="28">
        <f>F62*WAC/12</f>
        <v/>
      </c>
      <c r="I62" s="28">
        <f>F62*(WAC-ServFee)/12</f>
        <v/>
      </c>
      <c r="J62" s="28">
        <f>G62-H62</f>
        <v/>
      </c>
      <c r="K62" s="28">
        <f>(F62-J62)*C62</f>
        <v/>
      </c>
      <c r="L62" s="28">
        <f>E62*Severity</f>
        <v/>
      </c>
      <c r="M62" s="28">
        <f>E62-L62</f>
        <v/>
      </c>
      <c r="N62" s="28">
        <f>J62+K62+M62</f>
        <v/>
      </c>
      <c r="O62" s="28">
        <f>F62-J62-K62</f>
        <v/>
      </c>
      <c r="P62" s="28">
        <f>I62+N62</f>
        <v/>
      </c>
      <c r="Q62" s="36">
        <f>(1+CF_Yield/12)^-A62</f>
        <v/>
      </c>
      <c r="R62" s="28">
        <f>P62*Q62</f>
        <v/>
      </c>
    </row>
    <row r="63">
      <c r="A63" s="26">
        <f>A62+1</f>
        <v/>
      </c>
      <c r="B63" s="28">
        <f>O62</f>
        <v/>
      </c>
      <c r="C63" s="33">
        <f>1-(1-CF_CPR)^(1/12)</f>
        <v/>
      </c>
      <c r="D63" s="33">
        <f>1-(1-CF_CDR)^(1/12)</f>
        <v/>
      </c>
      <c r="E63" s="28">
        <f>B63*D63</f>
        <v/>
      </c>
      <c r="F63" s="28">
        <f>B63-E63</f>
        <v/>
      </c>
      <c r="G63" s="28">
        <f>IF(F63&gt;0.005,PMT(WAC/12,Term-A63+1,-F63),0)</f>
        <v/>
      </c>
      <c r="H63" s="28">
        <f>F63*WAC/12</f>
        <v/>
      </c>
      <c r="I63" s="28">
        <f>F63*(WAC-ServFee)/12</f>
        <v/>
      </c>
      <c r="J63" s="28">
        <f>G63-H63</f>
        <v/>
      </c>
      <c r="K63" s="28">
        <f>(F63-J63)*C63</f>
        <v/>
      </c>
      <c r="L63" s="28">
        <f>E63*Severity</f>
        <v/>
      </c>
      <c r="M63" s="28">
        <f>E63-L63</f>
        <v/>
      </c>
      <c r="N63" s="28">
        <f>J63+K63+M63</f>
        <v/>
      </c>
      <c r="O63" s="28">
        <f>F63-J63-K63</f>
        <v/>
      </c>
      <c r="P63" s="28">
        <f>I63+N63</f>
        <v/>
      </c>
      <c r="Q63" s="36">
        <f>(1+CF_Yield/12)^-A63</f>
        <v/>
      </c>
      <c r="R63" s="28">
        <f>P63*Q63</f>
        <v/>
      </c>
    </row>
    <row r="64">
      <c r="A64" s="26">
        <f>A63+1</f>
        <v/>
      </c>
      <c r="B64" s="28">
        <f>O63</f>
        <v/>
      </c>
      <c r="C64" s="33">
        <f>1-(1-CF_CPR)^(1/12)</f>
        <v/>
      </c>
      <c r="D64" s="33">
        <f>1-(1-CF_CDR)^(1/12)</f>
        <v/>
      </c>
      <c r="E64" s="28">
        <f>B64*D64</f>
        <v/>
      </c>
      <c r="F64" s="28">
        <f>B64-E64</f>
        <v/>
      </c>
      <c r="G64" s="28">
        <f>IF(F64&gt;0.005,PMT(WAC/12,Term-A64+1,-F64),0)</f>
        <v/>
      </c>
      <c r="H64" s="28">
        <f>F64*WAC/12</f>
        <v/>
      </c>
      <c r="I64" s="28">
        <f>F64*(WAC-ServFee)/12</f>
        <v/>
      </c>
      <c r="J64" s="28">
        <f>G64-H64</f>
        <v/>
      </c>
      <c r="K64" s="28">
        <f>(F64-J64)*C64</f>
        <v/>
      </c>
      <c r="L64" s="28">
        <f>E64*Severity</f>
        <v/>
      </c>
      <c r="M64" s="28">
        <f>E64-L64</f>
        <v/>
      </c>
      <c r="N64" s="28">
        <f>J64+K64+M64</f>
        <v/>
      </c>
      <c r="O64" s="28">
        <f>F64-J64-K64</f>
        <v/>
      </c>
      <c r="P64" s="28">
        <f>I64+N64</f>
        <v/>
      </c>
      <c r="Q64" s="36">
        <f>(1+CF_Yield/12)^-A64</f>
        <v/>
      </c>
      <c r="R64" s="28">
        <f>P64*Q64</f>
        <v/>
      </c>
    </row>
    <row r="65">
      <c r="A65" s="26">
        <f>A64+1</f>
        <v/>
      </c>
      <c r="B65" s="28">
        <f>O64</f>
        <v/>
      </c>
      <c r="C65" s="33">
        <f>1-(1-CF_CPR)^(1/12)</f>
        <v/>
      </c>
      <c r="D65" s="33">
        <f>1-(1-CF_CDR)^(1/12)</f>
        <v/>
      </c>
      <c r="E65" s="28">
        <f>B65*D65</f>
        <v/>
      </c>
      <c r="F65" s="28">
        <f>B65-E65</f>
        <v/>
      </c>
      <c r="G65" s="28">
        <f>IF(F65&gt;0.005,PMT(WAC/12,Term-A65+1,-F65),0)</f>
        <v/>
      </c>
      <c r="H65" s="28">
        <f>F65*WAC/12</f>
        <v/>
      </c>
      <c r="I65" s="28">
        <f>F65*(WAC-ServFee)/12</f>
        <v/>
      </c>
      <c r="J65" s="28">
        <f>G65-H65</f>
        <v/>
      </c>
      <c r="K65" s="28">
        <f>(F65-J65)*C65</f>
        <v/>
      </c>
      <c r="L65" s="28">
        <f>E65*Severity</f>
        <v/>
      </c>
      <c r="M65" s="28">
        <f>E65-L65</f>
        <v/>
      </c>
      <c r="N65" s="28">
        <f>J65+K65+M65</f>
        <v/>
      </c>
      <c r="O65" s="28">
        <f>F65-J65-K65</f>
        <v/>
      </c>
      <c r="P65" s="28">
        <f>I65+N65</f>
        <v/>
      </c>
      <c r="Q65" s="36">
        <f>(1+CF_Yield/12)^-A65</f>
        <v/>
      </c>
      <c r="R65" s="28">
        <f>P65*Q65</f>
        <v/>
      </c>
    </row>
    <row r="66">
      <c r="A66" s="26">
        <f>A65+1</f>
        <v/>
      </c>
      <c r="B66" s="28">
        <f>O65</f>
        <v/>
      </c>
      <c r="C66" s="33">
        <f>1-(1-CF_CPR)^(1/12)</f>
        <v/>
      </c>
      <c r="D66" s="33">
        <f>1-(1-CF_CDR)^(1/12)</f>
        <v/>
      </c>
      <c r="E66" s="28">
        <f>B66*D66</f>
        <v/>
      </c>
      <c r="F66" s="28">
        <f>B66-E66</f>
        <v/>
      </c>
      <c r="G66" s="28">
        <f>IF(F66&gt;0.005,PMT(WAC/12,Term-A66+1,-F66),0)</f>
        <v/>
      </c>
      <c r="H66" s="28">
        <f>F66*WAC/12</f>
        <v/>
      </c>
      <c r="I66" s="28">
        <f>F66*(WAC-ServFee)/12</f>
        <v/>
      </c>
      <c r="J66" s="28">
        <f>G66-H66</f>
        <v/>
      </c>
      <c r="K66" s="28">
        <f>(F66-J66)*C66</f>
        <v/>
      </c>
      <c r="L66" s="28">
        <f>E66*Severity</f>
        <v/>
      </c>
      <c r="M66" s="28">
        <f>E66-L66</f>
        <v/>
      </c>
      <c r="N66" s="28">
        <f>J66+K66+M66</f>
        <v/>
      </c>
      <c r="O66" s="28">
        <f>F66-J66-K66</f>
        <v/>
      </c>
      <c r="P66" s="28">
        <f>I66+N66</f>
        <v/>
      </c>
      <c r="Q66" s="36">
        <f>(1+CF_Yield/12)^-A66</f>
        <v/>
      </c>
      <c r="R66" s="28">
        <f>P66*Q66</f>
        <v/>
      </c>
    </row>
    <row r="67">
      <c r="A67" s="26">
        <f>A66+1</f>
        <v/>
      </c>
      <c r="B67" s="28">
        <f>O66</f>
        <v/>
      </c>
      <c r="C67" s="33">
        <f>1-(1-CF_CPR)^(1/12)</f>
        <v/>
      </c>
      <c r="D67" s="33">
        <f>1-(1-CF_CDR)^(1/12)</f>
        <v/>
      </c>
      <c r="E67" s="28">
        <f>B67*D67</f>
        <v/>
      </c>
      <c r="F67" s="28">
        <f>B67-E67</f>
        <v/>
      </c>
      <c r="G67" s="28">
        <f>IF(F67&gt;0.005,PMT(WAC/12,Term-A67+1,-F67),0)</f>
        <v/>
      </c>
      <c r="H67" s="28">
        <f>F67*WAC/12</f>
        <v/>
      </c>
      <c r="I67" s="28">
        <f>F67*(WAC-ServFee)/12</f>
        <v/>
      </c>
      <c r="J67" s="28">
        <f>G67-H67</f>
        <v/>
      </c>
      <c r="K67" s="28">
        <f>(F67-J67)*C67</f>
        <v/>
      </c>
      <c r="L67" s="28">
        <f>E67*Severity</f>
        <v/>
      </c>
      <c r="M67" s="28">
        <f>E67-L67</f>
        <v/>
      </c>
      <c r="N67" s="28">
        <f>J67+K67+M67</f>
        <v/>
      </c>
      <c r="O67" s="28">
        <f>F67-J67-K67</f>
        <v/>
      </c>
      <c r="P67" s="28">
        <f>I67+N67</f>
        <v/>
      </c>
      <c r="Q67" s="36">
        <f>(1+CF_Yield/12)^-A67</f>
        <v/>
      </c>
      <c r="R67" s="28">
        <f>P67*Q67</f>
        <v/>
      </c>
    </row>
    <row r="68">
      <c r="A68" s="26">
        <f>A67+1</f>
        <v/>
      </c>
      <c r="B68" s="28">
        <f>O67</f>
        <v/>
      </c>
      <c r="C68" s="33">
        <f>1-(1-CF_CPR)^(1/12)</f>
        <v/>
      </c>
      <c r="D68" s="33">
        <f>1-(1-CF_CDR)^(1/12)</f>
        <v/>
      </c>
      <c r="E68" s="28">
        <f>B68*D68</f>
        <v/>
      </c>
      <c r="F68" s="28">
        <f>B68-E68</f>
        <v/>
      </c>
      <c r="G68" s="28">
        <f>IF(F68&gt;0.005,PMT(WAC/12,Term-A68+1,-F68),0)</f>
        <v/>
      </c>
      <c r="H68" s="28">
        <f>F68*WAC/12</f>
        <v/>
      </c>
      <c r="I68" s="28">
        <f>F68*(WAC-ServFee)/12</f>
        <v/>
      </c>
      <c r="J68" s="28">
        <f>G68-H68</f>
        <v/>
      </c>
      <c r="K68" s="28">
        <f>(F68-J68)*C68</f>
        <v/>
      </c>
      <c r="L68" s="28">
        <f>E68*Severity</f>
        <v/>
      </c>
      <c r="M68" s="28">
        <f>E68-L68</f>
        <v/>
      </c>
      <c r="N68" s="28">
        <f>J68+K68+M68</f>
        <v/>
      </c>
      <c r="O68" s="28">
        <f>F68-J68-K68</f>
        <v/>
      </c>
      <c r="P68" s="28">
        <f>I68+N68</f>
        <v/>
      </c>
      <c r="Q68" s="36">
        <f>(1+CF_Yield/12)^-A68</f>
        <v/>
      </c>
      <c r="R68" s="28">
        <f>P68*Q68</f>
        <v/>
      </c>
    </row>
    <row r="69">
      <c r="A69" s="26">
        <f>A68+1</f>
        <v/>
      </c>
      <c r="B69" s="28">
        <f>O68</f>
        <v/>
      </c>
      <c r="C69" s="33">
        <f>1-(1-CF_CPR)^(1/12)</f>
        <v/>
      </c>
      <c r="D69" s="33">
        <f>1-(1-CF_CDR)^(1/12)</f>
        <v/>
      </c>
      <c r="E69" s="28">
        <f>B69*D69</f>
        <v/>
      </c>
      <c r="F69" s="28">
        <f>B69-E69</f>
        <v/>
      </c>
      <c r="G69" s="28">
        <f>IF(F69&gt;0.005,PMT(WAC/12,Term-A69+1,-F69),0)</f>
        <v/>
      </c>
      <c r="H69" s="28">
        <f>F69*WAC/12</f>
        <v/>
      </c>
      <c r="I69" s="28">
        <f>F69*(WAC-ServFee)/12</f>
        <v/>
      </c>
      <c r="J69" s="28">
        <f>G69-H69</f>
        <v/>
      </c>
      <c r="K69" s="28">
        <f>(F69-J69)*C69</f>
        <v/>
      </c>
      <c r="L69" s="28">
        <f>E69*Severity</f>
        <v/>
      </c>
      <c r="M69" s="28">
        <f>E69-L69</f>
        <v/>
      </c>
      <c r="N69" s="28">
        <f>J69+K69+M69</f>
        <v/>
      </c>
      <c r="O69" s="28">
        <f>F69-J69-K69</f>
        <v/>
      </c>
      <c r="P69" s="28">
        <f>I69+N69</f>
        <v/>
      </c>
      <c r="Q69" s="36">
        <f>(1+CF_Yield/12)^-A69</f>
        <v/>
      </c>
      <c r="R69" s="28">
        <f>P69*Q69</f>
        <v/>
      </c>
    </row>
    <row r="70">
      <c r="A70" s="26">
        <f>A69+1</f>
        <v/>
      </c>
      <c r="B70" s="28">
        <f>O69</f>
        <v/>
      </c>
      <c r="C70" s="33">
        <f>1-(1-CF_CPR)^(1/12)</f>
        <v/>
      </c>
      <c r="D70" s="33">
        <f>1-(1-CF_CDR)^(1/12)</f>
        <v/>
      </c>
      <c r="E70" s="28">
        <f>B70*D70</f>
        <v/>
      </c>
      <c r="F70" s="28">
        <f>B70-E70</f>
        <v/>
      </c>
      <c r="G70" s="28">
        <f>IF(F70&gt;0.005,PMT(WAC/12,Term-A70+1,-F70),0)</f>
        <v/>
      </c>
      <c r="H70" s="28">
        <f>F70*WAC/12</f>
        <v/>
      </c>
      <c r="I70" s="28">
        <f>F70*(WAC-ServFee)/12</f>
        <v/>
      </c>
      <c r="J70" s="28">
        <f>G70-H70</f>
        <v/>
      </c>
      <c r="K70" s="28">
        <f>(F70-J70)*C70</f>
        <v/>
      </c>
      <c r="L70" s="28">
        <f>E70*Severity</f>
        <v/>
      </c>
      <c r="M70" s="28">
        <f>E70-L70</f>
        <v/>
      </c>
      <c r="N70" s="28">
        <f>J70+K70+M70</f>
        <v/>
      </c>
      <c r="O70" s="28">
        <f>F70-J70-K70</f>
        <v/>
      </c>
      <c r="P70" s="28">
        <f>I70+N70</f>
        <v/>
      </c>
      <c r="Q70" s="36">
        <f>(1+CF_Yield/12)^-A70</f>
        <v/>
      </c>
      <c r="R70" s="28">
        <f>P70*Q70</f>
        <v/>
      </c>
    </row>
    <row r="71">
      <c r="A71" s="26">
        <f>A70+1</f>
        <v/>
      </c>
      <c r="B71" s="28">
        <f>O70</f>
        <v/>
      </c>
      <c r="C71" s="33">
        <f>1-(1-CF_CPR)^(1/12)</f>
        <v/>
      </c>
      <c r="D71" s="33">
        <f>1-(1-CF_CDR)^(1/12)</f>
        <v/>
      </c>
      <c r="E71" s="28">
        <f>B71*D71</f>
        <v/>
      </c>
      <c r="F71" s="28">
        <f>B71-E71</f>
        <v/>
      </c>
      <c r="G71" s="28">
        <f>IF(F71&gt;0.005,PMT(WAC/12,Term-A71+1,-F71),0)</f>
        <v/>
      </c>
      <c r="H71" s="28">
        <f>F71*WAC/12</f>
        <v/>
      </c>
      <c r="I71" s="28">
        <f>F71*(WAC-ServFee)/12</f>
        <v/>
      </c>
      <c r="J71" s="28">
        <f>G71-H71</f>
        <v/>
      </c>
      <c r="K71" s="28">
        <f>(F71-J71)*C71</f>
        <v/>
      </c>
      <c r="L71" s="28">
        <f>E71*Severity</f>
        <v/>
      </c>
      <c r="M71" s="28">
        <f>E71-L71</f>
        <v/>
      </c>
      <c r="N71" s="28">
        <f>J71+K71+M71</f>
        <v/>
      </c>
      <c r="O71" s="28">
        <f>F71-J71-K71</f>
        <v/>
      </c>
      <c r="P71" s="28">
        <f>I71+N71</f>
        <v/>
      </c>
      <c r="Q71" s="36">
        <f>(1+CF_Yield/12)^-A71</f>
        <v/>
      </c>
      <c r="R71" s="28">
        <f>P71*Q71</f>
        <v/>
      </c>
    </row>
    <row r="72">
      <c r="A72" s="26">
        <f>A71+1</f>
        <v/>
      </c>
      <c r="B72" s="28">
        <f>O71</f>
        <v/>
      </c>
      <c r="C72" s="33">
        <f>1-(1-CF_CPR)^(1/12)</f>
        <v/>
      </c>
      <c r="D72" s="33">
        <f>1-(1-CF_CDR)^(1/12)</f>
        <v/>
      </c>
      <c r="E72" s="28">
        <f>B72*D72</f>
        <v/>
      </c>
      <c r="F72" s="28">
        <f>B72-E72</f>
        <v/>
      </c>
      <c r="G72" s="28">
        <f>IF(F72&gt;0.005,PMT(WAC/12,Term-A72+1,-F72),0)</f>
        <v/>
      </c>
      <c r="H72" s="28">
        <f>F72*WAC/12</f>
        <v/>
      </c>
      <c r="I72" s="28">
        <f>F72*(WAC-ServFee)/12</f>
        <v/>
      </c>
      <c r="J72" s="28">
        <f>G72-H72</f>
        <v/>
      </c>
      <c r="K72" s="28">
        <f>(F72-J72)*C72</f>
        <v/>
      </c>
      <c r="L72" s="28">
        <f>E72*Severity</f>
        <v/>
      </c>
      <c r="M72" s="28">
        <f>E72-L72</f>
        <v/>
      </c>
      <c r="N72" s="28">
        <f>J72+K72+M72</f>
        <v/>
      </c>
      <c r="O72" s="28">
        <f>F72-J72-K72</f>
        <v/>
      </c>
      <c r="P72" s="28">
        <f>I72+N72</f>
        <v/>
      </c>
      <c r="Q72" s="36">
        <f>(1+CF_Yield/12)^-A72</f>
        <v/>
      </c>
      <c r="R72" s="28">
        <f>P72*Q72</f>
        <v/>
      </c>
    </row>
    <row r="73">
      <c r="A73" s="26">
        <f>A72+1</f>
        <v/>
      </c>
      <c r="B73" s="28">
        <f>O72</f>
        <v/>
      </c>
      <c r="C73" s="33">
        <f>1-(1-CF_CPR)^(1/12)</f>
        <v/>
      </c>
      <c r="D73" s="33">
        <f>1-(1-CF_CDR)^(1/12)</f>
        <v/>
      </c>
      <c r="E73" s="28">
        <f>B73*D73</f>
        <v/>
      </c>
      <c r="F73" s="28">
        <f>B73-E73</f>
        <v/>
      </c>
      <c r="G73" s="28">
        <f>IF(F73&gt;0.005,PMT(WAC/12,Term-A73+1,-F73),0)</f>
        <v/>
      </c>
      <c r="H73" s="28">
        <f>F73*WAC/12</f>
        <v/>
      </c>
      <c r="I73" s="28">
        <f>F73*(WAC-ServFee)/12</f>
        <v/>
      </c>
      <c r="J73" s="28">
        <f>G73-H73</f>
        <v/>
      </c>
      <c r="K73" s="28">
        <f>(F73-J73)*C73</f>
        <v/>
      </c>
      <c r="L73" s="28">
        <f>E73*Severity</f>
        <v/>
      </c>
      <c r="M73" s="28">
        <f>E73-L73</f>
        <v/>
      </c>
      <c r="N73" s="28">
        <f>J73+K73+M73</f>
        <v/>
      </c>
      <c r="O73" s="28">
        <f>F73-J73-K73</f>
        <v/>
      </c>
      <c r="P73" s="28">
        <f>I73+N73</f>
        <v/>
      </c>
      <c r="Q73" s="36">
        <f>(1+CF_Yield/12)^-A73</f>
        <v/>
      </c>
      <c r="R73" s="28">
        <f>P73*Q73</f>
        <v/>
      </c>
    </row>
    <row r="74">
      <c r="A74" s="26">
        <f>A73+1</f>
        <v/>
      </c>
      <c r="B74" s="28">
        <f>O73</f>
        <v/>
      </c>
      <c r="C74" s="33">
        <f>1-(1-CF_CPR)^(1/12)</f>
        <v/>
      </c>
      <c r="D74" s="33">
        <f>1-(1-CF_CDR)^(1/12)</f>
        <v/>
      </c>
      <c r="E74" s="28">
        <f>B74*D74</f>
        <v/>
      </c>
      <c r="F74" s="28">
        <f>B74-E74</f>
        <v/>
      </c>
      <c r="G74" s="28">
        <f>IF(F74&gt;0.005,PMT(WAC/12,Term-A74+1,-F74),0)</f>
        <v/>
      </c>
      <c r="H74" s="28">
        <f>F74*WAC/12</f>
        <v/>
      </c>
      <c r="I74" s="28">
        <f>F74*(WAC-ServFee)/12</f>
        <v/>
      </c>
      <c r="J74" s="28">
        <f>G74-H74</f>
        <v/>
      </c>
      <c r="K74" s="28">
        <f>(F74-J74)*C74</f>
        <v/>
      </c>
      <c r="L74" s="28">
        <f>E74*Severity</f>
        <v/>
      </c>
      <c r="M74" s="28">
        <f>E74-L74</f>
        <v/>
      </c>
      <c r="N74" s="28">
        <f>J74+K74+M74</f>
        <v/>
      </c>
      <c r="O74" s="28">
        <f>F74-J74-K74</f>
        <v/>
      </c>
      <c r="P74" s="28">
        <f>I74+N74</f>
        <v/>
      </c>
      <c r="Q74" s="36">
        <f>(1+CF_Yield/12)^-A74</f>
        <v/>
      </c>
      <c r="R74" s="28">
        <f>P74*Q74</f>
        <v/>
      </c>
    </row>
    <row r="75">
      <c r="A75" s="26">
        <f>A74+1</f>
        <v/>
      </c>
      <c r="B75" s="28">
        <f>O74</f>
        <v/>
      </c>
      <c r="C75" s="33">
        <f>1-(1-CF_CPR)^(1/12)</f>
        <v/>
      </c>
      <c r="D75" s="33">
        <f>1-(1-CF_CDR)^(1/12)</f>
        <v/>
      </c>
      <c r="E75" s="28">
        <f>B75*D75</f>
        <v/>
      </c>
      <c r="F75" s="28">
        <f>B75-E75</f>
        <v/>
      </c>
      <c r="G75" s="28">
        <f>IF(F75&gt;0.005,PMT(WAC/12,Term-A75+1,-F75),0)</f>
        <v/>
      </c>
      <c r="H75" s="28">
        <f>F75*WAC/12</f>
        <v/>
      </c>
      <c r="I75" s="28">
        <f>F75*(WAC-ServFee)/12</f>
        <v/>
      </c>
      <c r="J75" s="28">
        <f>G75-H75</f>
        <v/>
      </c>
      <c r="K75" s="28">
        <f>(F75-J75)*C75</f>
        <v/>
      </c>
      <c r="L75" s="28">
        <f>E75*Severity</f>
        <v/>
      </c>
      <c r="M75" s="28">
        <f>E75-L75</f>
        <v/>
      </c>
      <c r="N75" s="28">
        <f>J75+K75+M75</f>
        <v/>
      </c>
      <c r="O75" s="28">
        <f>F75-J75-K75</f>
        <v/>
      </c>
      <c r="P75" s="28">
        <f>I75+N75</f>
        <v/>
      </c>
      <c r="Q75" s="36">
        <f>(1+CF_Yield/12)^-A75</f>
        <v/>
      </c>
      <c r="R75" s="28">
        <f>P75*Q75</f>
        <v/>
      </c>
    </row>
    <row r="76">
      <c r="A76" s="26">
        <f>A75+1</f>
        <v/>
      </c>
      <c r="B76" s="28">
        <f>O75</f>
        <v/>
      </c>
      <c r="C76" s="33">
        <f>1-(1-CF_CPR)^(1/12)</f>
        <v/>
      </c>
      <c r="D76" s="33">
        <f>1-(1-CF_CDR)^(1/12)</f>
        <v/>
      </c>
      <c r="E76" s="28">
        <f>B76*D76</f>
        <v/>
      </c>
      <c r="F76" s="28">
        <f>B76-E76</f>
        <v/>
      </c>
      <c r="G76" s="28">
        <f>IF(F76&gt;0.005,PMT(WAC/12,Term-A76+1,-F76),0)</f>
        <v/>
      </c>
      <c r="H76" s="28">
        <f>F76*WAC/12</f>
        <v/>
      </c>
      <c r="I76" s="28">
        <f>F76*(WAC-ServFee)/12</f>
        <v/>
      </c>
      <c r="J76" s="28">
        <f>G76-H76</f>
        <v/>
      </c>
      <c r="K76" s="28">
        <f>(F76-J76)*C76</f>
        <v/>
      </c>
      <c r="L76" s="28">
        <f>E76*Severity</f>
        <v/>
      </c>
      <c r="M76" s="28">
        <f>E76-L76</f>
        <v/>
      </c>
      <c r="N76" s="28">
        <f>J76+K76+M76</f>
        <v/>
      </c>
      <c r="O76" s="28">
        <f>F76-J76-K76</f>
        <v/>
      </c>
      <c r="P76" s="28">
        <f>I76+N76</f>
        <v/>
      </c>
      <c r="Q76" s="36">
        <f>(1+CF_Yield/12)^-A76</f>
        <v/>
      </c>
      <c r="R76" s="28">
        <f>P76*Q76</f>
        <v/>
      </c>
    </row>
    <row r="77">
      <c r="A77" s="26">
        <f>A76+1</f>
        <v/>
      </c>
      <c r="B77" s="28">
        <f>O76</f>
        <v/>
      </c>
      <c r="C77" s="33">
        <f>1-(1-CF_CPR)^(1/12)</f>
        <v/>
      </c>
      <c r="D77" s="33">
        <f>1-(1-CF_CDR)^(1/12)</f>
        <v/>
      </c>
      <c r="E77" s="28">
        <f>B77*D77</f>
        <v/>
      </c>
      <c r="F77" s="28">
        <f>B77-E77</f>
        <v/>
      </c>
      <c r="G77" s="28">
        <f>IF(F77&gt;0.005,PMT(WAC/12,Term-A77+1,-F77),0)</f>
        <v/>
      </c>
      <c r="H77" s="28">
        <f>F77*WAC/12</f>
        <v/>
      </c>
      <c r="I77" s="28">
        <f>F77*(WAC-ServFee)/12</f>
        <v/>
      </c>
      <c r="J77" s="28">
        <f>G77-H77</f>
        <v/>
      </c>
      <c r="K77" s="28">
        <f>(F77-J77)*C77</f>
        <v/>
      </c>
      <c r="L77" s="28">
        <f>E77*Severity</f>
        <v/>
      </c>
      <c r="M77" s="28">
        <f>E77-L77</f>
        <v/>
      </c>
      <c r="N77" s="28">
        <f>J77+K77+M77</f>
        <v/>
      </c>
      <c r="O77" s="28">
        <f>F77-J77-K77</f>
        <v/>
      </c>
      <c r="P77" s="28">
        <f>I77+N77</f>
        <v/>
      </c>
      <c r="Q77" s="36">
        <f>(1+CF_Yield/12)^-A77</f>
        <v/>
      </c>
      <c r="R77" s="28">
        <f>P77*Q77</f>
        <v/>
      </c>
    </row>
    <row r="78">
      <c r="A78" s="26">
        <f>A77+1</f>
        <v/>
      </c>
      <c r="B78" s="28">
        <f>O77</f>
        <v/>
      </c>
      <c r="C78" s="33">
        <f>1-(1-CF_CPR)^(1/12)</f>
        <v/>
      </c>
      <c r="D78" s="33">
        <f>1-(1-CF_CDR)^(1/12)</f>
        <v/>
      </c>
      <c r="E78" s="28">
        <f>B78*D78</f>
        <v/>
      </c>
      <c r="F78" s="28">
        <f>B78-E78</f>
        <v/>
      </c>
      <c r="G78" s="28">
        <f>IF(F78&gt;0.005,PMT(WAC/12,Term-A78+1,-F78),0)</f>
        <v/>
      </c>
      <c r="H78" s="28">
        <f>F78*WAC/12</f>
        <v/>
      </c>
      <c r="I78" s="28">
        <f>F78*(WAC-ServFee)/12</f>
        <v/>
      </c>
      <c r="J78" s="28">
        <f>G78-H78</f>
        <v/>
      </c>
      <c r="K78" s="28">
        <f>(F78-J78)*C78</f>
        <v/>
      </c>
      <c r="L78" s="28">
        <f>E78*Severity</f>
        <v/>
      </c>
      <c r="M78" s="28">
        <f>E78-L78</f>
        <v/>
      </c>
      <c r="N78" s="28">
        <f>J78+K78+M78</f>
        <v/>
      </c>
      <c r="O78" s="28">
        <f>F78-J78-K78</f>
        <v/>
      </c>
      <c r="P78" s="28">
        <f>I78+N78</f>
        <v/>
      </c>
      <c r="Q78" s="36">
        <f>(1+CF_Yield/12)^-A78</f>
        <v/>
      </c>
      <c r="R78" s="28">
        <f>P78*Q78</f>
        <v/>
      </c>
    </row>
    <row r="79">
      <c r="A79" s="26">
        <f>A78+1</f>
        <v/>
      </c>
      <c r="B79" s="28">
        <f>O78</f>
        <v/>
      </c>
      <c r="C79" s="33">
        <f>1-(1-CF_CPR)^(1/12)</f>
        <v/>
      </c>
      <c r="D79" s="33">
        <f>1-(1-CF_CDR)^(1/12)</f>
        <v/>
      </c>
      <c r="E79" s="28">
        <f>B79*D79</f>
        <v/>
      </c>
      <c r="F79" s="28">
        <f>B79-E79</f>
        <v/>
      </c>
      <c r="G79" s="28">
        <f>IF(F79&gt;0.005,PMT(WAC/12,Term-A79+1,-F79),0)</f>
        <v/>
      </c>
      <c r="H79" s="28">
        <f>F79*WAC/12</f>
        <v/>
      </c>
      <c r="I79" s="28">
        <f>F79*(WAC-ServFee)/12</f>
        <v/>
      </c>
      <c r="J79" s="28">
        <f>G79-H79</f>
        <v/>
      </c>
      <c r="K79" s="28">
        <f>(F79-J79)*C79</f>
        <v/>
      </c>
      <c r="L79" s="28">
        <f>E79*Severity</f>
        <v/>
      </c>
      <c r="M79" s="28">
        <f>E79-L79</f>
        <v/>
      </c>
      <c r="N79" s="28">
        <f>J79+K79+M79</f>
        <v/>
      </c>
      <c r="O79" s="28">
        <f>F79-J79-K79</f>
        <v/>
      </c>
      <c r="P79" s="28">
        <f>I79+N79</f>
        <v/>
      </c>
      <c r="Q79" s="36">
        <f>(1+CF_Yield/12)^-A79</f>
        <v/>
      </c>
      <c r="R79" s="28">
        <f>P79*Q79</f>
        <v/>
      </c>
    </row>
    <row r="80">
      <c r="A80" s="26">
        <f>A79+1</f>
        <v/>
      </c>
      <c r="B80" s="28">
        <f>O79</f>
        <v/>
      </c>
      <c r="C80" s="33">
        <f>1-(1-CF_CPR)^(1/12)</f>
        <v/>
      </c>
      <c r="D80" s="33">
        <f>1-(1-CF_CDR)^(1/12)</f>
        <v/>
      </c>
      <c r="E80" s="28">
        <f>B80*D80</f>
        <v/>
      </c>
      <c r="F80" s="28">
        <f>B80-E80</f>
        <v/>
      </c>
      <c r="G80" s="28">
        <f>IF(F80&gt;0.005,PMT(WAC/12,Term-A80+1,-F80),0)</f>
        <v/>
      </c>
      <c r="H80" s="28">
        <f>F80*WAC/12</f>
        <v/>
      </c>
      <c r="I80" s="28">
        <f>F80*(WAC-ServFee)/12</f>
        <v/>
      </c>
      <c r="J80" s="28">
        <f>G80-H80</f>
        <v/>
      </c>
      <c r="K80" s="28">
        <f>(F80-J80)*C80</f>
        <v/>
      </c>
      <c r="L80" s="28">
        <f>E80*Severity</f>
        <v/>
      </c>
      <c r="M80" s="28">
        <f>E80-L80</f>
        <v/>
      </c>
      <c r="N80" s="28">
        <f>J80+K80+M80</f>
        <v/>
      </c>
      <c r="O80" s="28">
        <f>F80-J80-K80</f>
        <v/>
      </c>
      <c r="P80" s="28">
        <f>I80+N80</f>
        <v/>
      </c>
      <c r="Q80" s="36">
        <f>(1+CF_Yield/12)^-A80</f>
        <v/>
      </c>
      <c r="R80" s="28">
        <f>P80*Q80</f>
        <v/>
      </c>
    </row>
    <row r="81">
      <c r="A81" s="26">
        <f>A80+1</f>
        <v/>
      </c>
      <c r="B81" s="28">
        <f>O80</f>
        <v/>
      </c>
      <c r="C81" s="33">
        <f>1-(1-CF_CPR)^(1/12)</f>
        <v/>
      </c>
      <c r="D81" s="33">
        <f>1-(1-CF_CDR)^(1/12)</f>
        <v/>
      </c>
      <c r="E81" s="28">
        <f>B81*D81</f>
        <v/>
      </c>
      <c r="F81" s="28">
        <f>B81-E81</f>
        <v/>
      </c>
      <c r="G81" s="28">
        <f>IF(F81&gt;0.005,PMT(WAC/12,Term-A81+1,-F81),0)</f>
        <v/>
      </c>
      <c r="H81" s="28">
        <f>F81*WAC/12</f>
        <v/>
      </c>
      <c r="I81" s="28">
        <f>F81*(WAC-ServFee)/12</f>
        <v/>
      </c>
      <c r="J81" s="28">
        <f>G81-H81</f>
        <v/>
      </c>
      <c r="K81" s="28">
        <f>(F81-J81)*C81</f>
        <v/>
      </c>
      <c r="L81" s="28">
        <f>E81*Severity</f>
        <v/>
      </c>
      <c r="M81" s="28">
        <f>E81-L81</f>
        <v/>
      </c>
      <c r="N81" s="28">
        <f>J81+K81+M81</f>
        <v/>
      </c>
      <c r="O81" s="28">
        <f>F81-J81-K81</f>
        <v/>
      </c>
      <c r="P81" s="28">
        <f>I81+N81</f>
        <v/>
      </c>
      <c r="Q81" s="36">
        <f>(1+CF_Yield/12)^-A81</f>
        <v/>
      </c>
      <c r="R81" s="28">
        <f>P81*Q81</f>
        <v/>
      </c>
    </row>
    <row r="82">
      <c r="A82" s="26">
        <f>A81+1</f>
        <v/>
      </c>
      <c r="B82" s="28">
        <f>O81</f>
        <v/>
      </c>
      <c r="C82" s="33">
        <f>1-(1-CF_CPR)^(1/12)</f>
        <v/>
      </c>
      <c r="D82" s="33">
        <f>1-(1-CF_CDR)^(1/12)</f>
        <v/>
      </c>
      <c r="E82" s="28">
        <f>B82*D82</f>
        <v/>
      </c>
      <c r="F82" s="28">
        <f>B82-E82</f>
        <v/>
      </c>
      <c r="G82" s="28">
        <f>IF(F82&gt;0.005,PMT(WAC/12,Term-A82+1,-F82),0)</f>
        <v/>
      </c>
      <c r="H82" s="28">
        <f>F82*WAC/12</f>
        <v/>
      </c>
      <c r="I82" s="28">
        <f>F82*(WAC-ServFee)/12</f>
        <v/>
      </c>
      <c r="J82" s="28">
        <f>G82-H82</f>
        <v/>
      </c>
      <c r="K82" s="28">
        <f>(F82-J82)*C82</f>
        <v/>
      </c>
      <c r="L82" s="28">
        <f>E82*Severity</f>
        <v/>
      </c>
      <c r="M82" s="28">
        <f>E82-L82</f>
        <v/>
      </c>
      <c r="N82" s="28">
        <f>J82+K82+M82</f>
        <v/>
      </c>
      <c r="O82" s="28">
        <f>F82-J82-K82</f>
        <v/>
      </c>
      <c r="P82" s="28">
        <f>I82+N82</f>
        <v/>
      </c>
      <c r="Q82" s="36">
        <f>(1+CF_Yield/12)^-A82</f>
        <v/>
      </c>
      <c r="R82" s="28">
        <f>P82*Q82</f>
        <v/>
      </c>
    </row>
    <row r="83">
      <c r="A83" s="26">
        <f>A82+1</f>
        <v/>
      </c>
      <c r="B83" s="28">
        <f>O82</f>
        <v/>
      </c>
      <c r="C83" s="33">
        <f>1-(1-CF_CPR)^(1/12)</f>
        <v/>
      </c>
      <c r="D83" s="33">
        <f>1-(1-CF_CDR)^(1/12)</f>
        <v/>
      </c>
      <c r="E83" s="28">
        <f>B83*D83</f>
        <v/>
      </c>
      <c r="F83" s="28">
        <f>B83-E83</f>
        <v/>
      </c>
      <c r="G83" s="28">
        <f>IF(F83&gt;0.005,PMT(WAC/12,Term-A83+1,-F83),0)</f>
        <v/>
      </c>
      <c r="H83" s="28">
        <f>F83*WAC/12</f>
        <v/>
      </c>
      <c r="I83" s="28">
        <f>F83*(WAC-ServFee)/12</f>
        <v/>
      </c>
      <c r="J83" s="28">
        <f>G83-H83</f>
        <v/>
      </c>
      <c r="K83" s="28">
        <f>(F83-J83)*C83</f>
        <v/>
      </c>
      <c r="L83" s="28">
        <f>E83*Severity</f>
        <v/>
      </c>
      <c r="M83" s="28">
        <f>E83-L83</f>
        <v/>
      </c>
      <c r="N83" s="28">
        <f>J83+K83+M83</f>
        <v/>
      </c>
      <c r="O83" s="28">
        <f>F83-J83-K83</f>
        <v/>
      </c>
      <c r="P83" s="28">
        <f>I83+N83</f>
        <v/>
      </c>
      <c r="Q83" s="36">
        <f>(1+CF_Yield/12)^-A83</f>
        <v/>
      </c>
      <c r="R83" s="28">
        <f>P83*Q83</f>
        <v/>
      </c>
    </row>
    <row r="84">
      <c r="A84" s="26">
        <f>A83+1</f>
        <v/>
      </c>
      <c r="B84" s="28">
        <f>O83</f>
        <v/>
      </c>
      <c r="C84" s="33">
        <f>1-(1-CF_CPR)^(1/12)</f>
        <v/>
      </c>
      <c r="D84" s="33">
        <f>1-(1-CF_CDR)^(1/12)</f>
        <v/>
      </c>
      <c r="E84" s="28">
        <f>B84*D84</f>
        <v/>
      </c>
      <c r="F84" s="28">
        <f>B84-E84</f>
        <v/>
      </c>
      <c r="G84" s="28">
        <f>IF(F84&gt;0.005,PMT(WAC/12,Term-A84+1,-F84),0)</f>
        <v/>
      </c>
      <c r="H84" s="28">
        <f>F84*WAC/12</f>
        <v/>
      </c>
      <c r="I84" s="28">
        <f>F84*(WAC-ServFee)/12</f>
        <v/>
      </c>
      <c r="J84" s="28">
        <f>G84-H84</f>
        <v/>
      </c>
      <c r="K84" s="28">
        <f>(F84-J84)*C84</f>
        <v/>
      </c>
      <c r="L84" s="28">
        <f>E84*Severity</f>
        <v/>
      </c>
      <c r="M84" s="28">
        <f>E84-L84</f>
        <v/>
      </c>
      <c r="N84" s="28">
        <f>J84+K84+M84</f>
        <v/>
      </c>
      <c r="O84" s="28">
        <f>F84-J84-K84</f>
        <v/>
      </c>
      <c r="P84" s="28">
        <f>I84+N84</f>
        <v/>
      </c>
      <c r="Q84" s="36">
        <f>(1+CF_Yield/12)^-A84</f>
        <v/>
      </c>
      <c r="R84" s="28">
        <f>P84*Q84</f>
        <v/>
      </c>
    </row>
    <row r="85">
      <c r="A85" s="26">
        <f>A84+1</f>
        <v/>
      </c>
      <c r="B85" s="28">
        <f>O84</f>
        <v/>
      </c>
      <c r="C85" s="33">
        <f>1-(1-CF_CPR)^(1/12)</f>
        <v/>
      </c>
      <c r="D85" s="33">
        <f>1-(1-CF_CDR)^(1/12)</f>
        <v/>
      </c>
      <c r="E85" s="28">
        <f>B85*D85</f>
        <v/>
      </c>
      <c r="F85" s="28">
        <f>B85-E85</f>
        <v/>
      </c>
      <c r="G85" s="28">
        <f>IF(F85&gt;0.005,PMT(WAC/12,Term-A85+1,-F85),0)</f>
        <v/>
      </c>
      <c r="H85" s="28">
        <f>F85*WAC/12</f>
        <v/>
      </c>
      <c r="I85" s="28">
        <f>F85*(WAC-ServFee)/12</f>
        <v/>
      </c>
      <c r="J85" s="28">
        <f>G85-H85</f>
        <v/>
      </c>
      <c r="K85" s="28">
        <f>(F85-J85)*C85</f>
        <v/>
      </c>
      <c r="L85" s="28">
        <f>E85*Severity</f>
        <v/>
      </c>
      <c r="M85" s="28">
        <f>E85-L85</f>
        <v/>
      </c>
      <c r="N85" s="28">
        <f>J85+K85+M85</f>
        <v/>
      </c>
      <c r="O85" s="28">
        <f>F85-J85-K85</f>
        <v/>
      </c>
      <c r="P85" s="28">
        <f>I85+N85</f>
        <v/>
      </c>
      <c r="Q85" s="36">
        <f>(1+CF_Yield/12)^-A85</f>
        <v/>
      </c>
      <c r="R85" s="28">
        <f>P85*Q85</f>
        <v/>
      </c>
    </row>
    <row r="86">
      <c r="A86" s="26">
        <f>A85+1</f>
        <v/>
      </c>
      <c r="B86" s="28">
        <f>O85</f>
        <v/>
      </c>
      <c r="C86" s="33">
        <f>1-(1-CF_CPR)^(1/12)</f>
        <v/>
      </c>
      <c r="D86" s="33">
        <f>1-(1-CF_CDR)^(1/12)</f>
        <v/>
      </c>
      <c r="E86" s="28">
        <f>B86*D86</f>
        <v/>
      </c>
      <c r="F86" s="28">
        <f>B86-E86</f>
        <v/>
      </c>
      <c r="G86" s="28">
        <f>IF(F86&gt;0.005,PMT(WAC/12,Term-A86+1,-F86),0)</f>
        <v/>
      </c>
      <c r="H86" s="28">
        <f>F86*WAC/12</f>
        <v/>
      </c>
      <c r="I86" s="28">
        <f>F86*(WAC-ServFee)/12</f>
        <v/>
      </c>
      <c r="J86" s="28">
        <f>G86-H86</f>
        <v/>
      </c>
      <c r="K86" s="28">
        <f>(F86-J86)*C86</f>
        <v/>
      </c>
      <c r="L86" s="28">
        <f>E86*Severity</f>
        <v/>
      </c>
      <c r="M86" s="28">
        <f>E86-L86</f>
        <v/>
      </c>
      <c r="N86" s="28">
        <f>J86+K86+M86</f>
        <v/>
      </c>
      <c r="O86" s="28">
        <f>F86-J86-K86</f>
        <v/>
      </c>
      <c r="P86" s="28">
        <f>I86+N86</f>
        <v/>
      </c>
      <c r="Q86" s="36">
        <f>(1+CF_Yield/12)^-A86</f>
        <v/>
      </c>
      <c r="R86" s="28">
        <f>P86*Q86</f>
        <v/>
      </c>
    </row>
    <row r="87">
      <c r="A87" s="26">
        <f>A86+1</f>
        <v/>
      </c>
      <c r="B87" s="28">
        <f>O86</f>
        <v/>
      </c>
      <c r="C87" s="33">
        <f>1-(1-CF_CPR)^(1/12)</f>
        <v/>
      </c>
      <c r="D87" s="33">
        <f>1-(1-CF_CDR)^(1/12)</f>
        <v/>
      </c>
      <c r="E87" s="28">
        <f>B87*D87</f>
        <v/>
      </c>
      <c r="F87" s="28">
        <f>B87-E87</f>
        <v/>
      </c>
      <c r="G87" s="28">
        <f>IF(F87&gt;0.005,PMT(WAC/12,Term-A87+1,-F87),0)</f>
        <v/>
      </c>
      <c r="H87" s="28">
        <f>F87*WAC/12</f>
        <v/>
      </c>
      <c r="I87" s="28">
        <f>F87*(WAC-ServFee)/12</f>
        <v/>
      </c>
      <c r="J87" s="28">
        <f>G87-H87</f>
        <v/>
      </c>
      <c r="K87" s="28">
        <f>(F87-J87)*C87</f>
        <v/>
      </c>
      <c r="L87" s="28">
        <f>E87*Severity</f>
        <v/>
      </c>
      <c r="M87" s="28">
        <f>E87-L87</f>
        <v/>
      </c>
      <c r="N87" s="28">
        <f>J87+K87+M87</f>
        <v/>
      </c>
      <c r="O87" s="28">
        <f>F87-J87-K87</f>
        <v/>
      </c>
      <c r="P87" s="28">
        <f>I87+N87</f>
        <v/>
      </c>
      <c r="Q87" s="36">
        <f>(1+CF_Yield/12)^-A87</f>
        <v/>
      </c>
      <c r="R87" s="28">
        <f>P87*Q87</f>
        <v/>
      </c>
    </row>
    <row r="88">
      <c r="A88" s="26">
        <f>A87+1</f>
        <v/>
      </c>
      <c r="B88" s="28">
        <f>O87</f>
        <v/>
      </c>
      <c r="C88" s="33">
        <f>1-(1-CF_CPR)^(1/12)</f>
        <v/>
      </c>
      <c r="D88" s="33">
        <f>1-(1-CF_CDR)^(1/12)</f>
        <v/>
      </c>
      <c r="E88" s="28">
        <f>B88*D88</f>
        <v/>
      </c>
      <c r="F88" s="28">
        <f>B88-E88</f>
        <v/>
      </c>
      <c r="G88" s="28">
        <f>IF(F88&gt;0.005,PMT(WAC/12,Term-A88+1,-F88),0)</f>
        <v/>
      </c>
      <c r="H88" s="28">
        <f>F88*WAC/12</f>
        <v/>
      </c>
      <c r="I88" s="28">
        <f>F88*(WAC-ServFee)/12</f>
        <v/>
      </c>
      <c r="J88" s="28">
        <f>G88-H88</f>
        <v/>
      </c>
      <c r="K88" s="28">
        <f>(F88-J88)*C88</f>
        <v/>
      </c>
      <c r="L88" s="28">
        <f>E88*Severity</f>
        <v/>
      </c>
      <c r="M88" s="28">
        <f>E88-L88</f>
        <v/>
      </c>
      <c r="N88" s="28">
        <f>J88+K88+M88</f>
        <v/>
      </c>
      <c r="O88" s="28">
        <f>F88-J88-K88</f>
        <v/>
      </c>
      <c r="P88" s="28">
        <f>I88+N88</f>
        <v/>
      </c>
      <c r="Q88" s="36">
        <f>(1+CF_Yield/12)^-A88</f>
        <v/>
      </c>
      <c r="R88" s="28">
        <f>P88*Q88</f>
        <v/>
      </c>
    </row>
    <row r="89">
      <c r="A89" s="26">
        <f>A88+1</f>
        <v/>
      </c>
      <c r="B89" s="28">
        <f>O88</f>
        <v/>
      </c>
      <c r="C89" s="33">
        <f>1-(1-CF_CPR)^(1/12)</f>
        <v/>
      </c>
      <c r="D89" s="33">
        <f>1-(1-CF_CDR)^(1/12)</f>
        <v/>
      </c>
      <c r="E89" s="28">
        <f>B89*D89</f>
        <v/>
      </c>
      <c r="F89" s="28">
        <f>B89-E89</f>
        <v/>
      </c>
      <c r="G89" s="28">
        <f>IF(F89&gt;0.005,PMT(WAC/12,Term-A89+1,-F89),0)</f>
        <v/>
      </c>
      <c r="H89" s="28">
        <f>F89*WAC/12</f>
        <v/>
      </c>
      <c r="I89" s="28">
        <f>F89*(WAC-ServFee)/12</f>
        <v/>
      </c>
      <c r="J89" s="28">
        <f>G89-H89</f>
        <v/>
      </c>
      <c r="K89" s="28">
        <f>(F89-J89)*C89</f>
        <v/>
      </c>
      <c r="L89" s="28">
        <f>E89*Severity</f>
        <v/>
      </c>
      <c r="M89" s="28">
        <f>E89-L89</f>
        <v/>
      </c>
      <c r="N89" s="28">
        <f>J89+K89+M89</f>
        <v/>
      </c>
      <c r="O89" s="28">
        <f>F89-J89-K89</f>
        <v/>
      </c>
      <c r="P89" s="28">
        <f>I89+N89</f>
        <v/>
      </c>
      <c r="Q89" s="36">
        <f>(1+CF_Yield/12)^-A89</f>
        <v/>
      </c>
      <c r="R89" s="28">
        <f>P89*Q89</f>
        <v/>
      </c>
    </row>
    <row r="90">
      <c r="A90" s="26">
        <f>A89+1</f>
        <v/>
      </c>
      <c r="B90" s="28">
        <f>O89</f>
        <v/>
      </c>
      <c r="C90" s="33">
        <f>1-(1-CF_CPR)^(1/12)</f>
        <v/>
      </c>
      <c r="D90" s="33">
        <f>1-(1-CF_CDR)^(1/12)</f>
        <v/>
      </c>
      <c r="E90" s="28">
        <f>B90*D90</f>
        <v/>
      </c>
      <c r="F90" s="28">
        <f>B90-E90</f>
        <v/>
      </c>
      <c r="G90" s="28">
        <f>IF(F90&gt;0.005,PMT(WAC/12,Term-A90+1,-F90),0)</f>
        <v/>
      </c>
      <c r="H90" s="28">
        <f>F90*WAC/12</f>
        <v/>
      </c>
      <c r="I90" s="28">
        <f>F90*(WAC-ServFee)/12</f>
        <v/>
      </c>
      <c r="J90" s="28">
        <f>G90-H90</f>
        <v/>
      </c>
      <c r="K90" s="28">
        <f>(F90-J90)*C90</f>
        <v/>
      </c>
      <c r="L90" s="28">
        <f>E90*Severity</f>
        <v/>
      </c>
      <c r="M90" s="28">
        <f>E90-L90</f>
        <v/>
      </c>
      <c r="N90" s="28">
        <f>J90+K90+M90</f>
        <v/>
      </c>
      <c r="O90" s="28">
        <f>F90-J90-K90</f>
        <v/>
      </c>
      <c r="P90" s="28">
        <f>I90+N90</f>
        <v/>
      </c>
      <c r="Q90" s="36">
        <f>(1+CF_Yield/12)^-A90</f>
        <v/>
      </c>
      <c r="R90" s="28">
        <f>P90*Q90</f>
        <v/>
      </c>
    </row>
    <row r="91">
      <c r="A91" s="26">
        <f>A90+1</f>
        <v/>
      </c>
      <c r="B91" s="28">
        <f>O90</f>
        <v/>
      </c>
      <c r="C91" s="33">
        <f>1-(1-CF_CPR)^(1/12)</f>
        <v/>
      </c>
      <c r="D91" s="33">
        <f>1-(1-CF_CDR)^(1/12)</f>
        <v/>
      </c>
      <c r="E91" s="28">
        <f>B91*D91</f>
        <v/>
      </c>
      <c r="F91" s="28">
        <f>B91-E91</f>
        <v/>
      </c>
      <c r="G91" s="28">
        <f>IF(F91&gt;0.005,PMT(WAC/12,Term-A91+1,-F91),0)</f>
        <v/>
      </c>
      <c r="H91" s="28">
        <f>F91*WAC/12</f>
        <v/>
      </c>
      <c r="I91" s="28">
        <f>F91*(WAC-ServFee)/12</f>
        <v/>
      </c>
      <c r="J91" s="28">
        <f>G91-H91</f>
        <v/>
      </c>
      <c r="K91" s="28">
        <f>(F91-J91)*C91</f>
        <v/>
      </c>
      <c r="L91" s="28">
        <f>E91*Severity</f>
        <v/>
      </c>
      <c r="M91" s="28">
        <f>E91-L91</f>
        <v/>
      </c>
      <c r="N91" s="28">
        <f>J91+K91+M91</f>
        <v/>
      </c>
      <c r="O91" s="28">
        <f>F91-J91-K91</f>
        <v/>
      </c>
      <c r="P91" s="28">
        <f>I91+N91</f>
        <v/>
      </c>
      <c r="Q91" s="36">
        <f>(1+CF_Yield/12)^-A91</f>
        <v/>
      </c>
      <c r="R91" s="28">
        <f>P91*Q91</f>
        <v/>
      </c>
    </row>
    <row r="92">
      <c r="A92" s="26">
        <f>A91+1</f>
        <v/>
      </c>
      <c r="B92" s="28">
        <f>O91</f>
        <v/>
      </c>
      <c r="C92" s="33">
        <f>1-(1-CF_CPR)^(1/12)</f>
        <v/>
      </c>
      <c r="D92" s="33">
        <f>1-(1-CF_CDR)^(1/12)</f>
        <v/>
      </c>
      <c r="E92" s="28">
        <f>B92*D92</f>
        <v/>
      </c>
      <c r="F92" s="28">
        <f>B92-E92</f>
        <v/>
      </c>
      <c r="G92" s="28">
        <f>IF(F92&gt;0.005,PMT(WAC/12,Term-A92+1,-F92),0)</f>
        <v/>
      </c>
      <c r="H92" s="28">
        <f>F92*WAC/12</f>
        <v/>
      </c>
      <c r="I92" s="28">
        <f>F92*(WAC-ServFee)/12</f>
        <v/>
      </c>
      <c r="J92" s="28">
        <f>G92-H92</f>
        <v/>
      </c>
      <c r="K92" s="28">
        <f>(F92-J92)*C92</f>
        <v/>
      </c>
      <c r="L92" s="28">
        <f>E92*Severity</f>
        <v/>
      </c>
      <c r="M92" s="28">
        <f>E92-L92</f>
        <v/>
      </c>
      <c r="N92" s="28">
        <f>J92+K92+M92</f>
        <v/>
      </c>
      <c r="O92" s="28">
        <f>F92-J92-K92</f>
        <v/>
      </c>
      <c r="P92" s="28">
        <f>I92+N92</f>
        <v/>
      </c>
      <c r="Q92" s="36">
        <f>(1+CF_Yield/12)^-A92</f>
        <v/>
      </c>
      <c r="R92" s="28">
        <f>P92*Q92</f>
        <v/>
      </c>
    </row>
    <row r="93">
      <c r="A93" s="26">
        <f>A92+1</f>
        <v/>
      </c>
      <c r="B93" s="28">
        <f>O92</f>
        <v/>
      </c>
      <c r="C93" s="33">
        <f>1-(1-CF_CPR)^(1/12)</f>
        <v/>
      </c>
      <c r="D93" s="33">
        <f>1-(1-CF_CDR)^(1/12)</f>
        <v/>
      </c>
      <c r="E93" s="28">
        <f>B93*D93</f>
        <v/>
      </c>
      <c r="F93" s="28">
        <f>B93-E93</f>
        <v/>
      </c>
      <c r="G93" s="28">
        <f>IF(F93&gt;0.005,PMT(WAC/12,Term-A93+1,-F93),0)</f>
        <v/>
      </c>
      <c r="H93" s="28">
        <f>F93*WAC/12</f>
        <v/>
      </c>
      <c r="I93" s="28">
        <f>F93*(WAC-ServFee)/12</f>
        <v/>
      </c>
      <c r="J93" s="28">
        <f>G93-H93</f>
        <v/>
      </c>
      <c r="K93" s="28">
        <f>(F93-J93)*C93</f>
        <v/>
      </c>
      <c r="L93" s="28">
        <f>E93*Severity</f>
        <v/>
      </c>
      <c r="M93" s="28">
        <f>E93-L93</f>
        <v/>
      </c>
      <c r="N93" s="28">
        <f>J93+K93+M93</f>
        <v/>
      </c>
      <c r="O93" s="28">
        <f>F93-J93-K93</f>
        <v/>
      </c>
      <c r="P93" s="28">
        <f>I93+N93</f>
        <v/>
      </c>
      <c r="Q93" s="36">
        <f>(1+CF_Yield/12)^-A93</f>
        <v/>
      </c>
      <c r="R93" s="28">
        <f>P93*Q93</f>
        <v/>
      </c>
    </row>
    <row r="94">
      <c r="A94" s="26">
        <f>A93+1</f>
        <v/>
      </c>
      <c r="B94" s="28">
        <f>O93</f>
        <v/>
      </c>
      <c r="C94" s="33">
        <f>1-(1-CF_CPR)^(1/12)</f>
        <v/>
      </c>
      <c r="D94" s="33">
        <f>1-(1-CF_CDR)^(1/12)</f>
        <v/>
      </c>
      <c r="E94" s="28">
        <f>B94*D94</f>
        <v/>
      </c>
      <c r="F94" s="28">
        <f>B94-E94</f>
        <v/>
      </c>
      <c r="G94" s="28">
        <f>IF(F94&gt;0.005,PMT(WAC/12,Term-A94+1,-F94),0)</f>
        <v/>
      </c>
      <c r="H94" s="28">
        <f>F94*WAC/12</f>
        <v/>
      </c>
      <c r="I94" s="28">
        <f>F94*(WAC-ServFee)/12</f>
        <v/>
      </c>
      <c r="J94" s="28">
        <f>G94-H94</f>
        <v/>
      </c>
      <c r="K94" s="28">
        <f>(F94-J94)*C94</f>
        <v/>
      </c>
      <c r="L94" s="28">
        <f>E94*Severity</f>
        <v/>
      </c>
      <c r="M94" s="28">
        <f>E94-L94</f>
        <v/>
      </c>
      <c r="N94" s="28">
        <f>J94+K94+M94</f>
        <v/>
      </c>
      <c r="O94" s="28">
        <f>F94-J94-K94</f>
        <v/>
      </c>
      <c r="P94" s="28">
        <f>I94+N94</f>
        <v/>
      </c>
      <c r="Q94" s="36">
        <f>(1+CF_Yield/12)^-A94</f>
        <v/>
      </c>
      <c r="R94" s="28">
        <f>P94*Q94</f>
        <v/>
      </c>
    </row>
    <row r="95">
      <c r="A95" s="26">
        <f>A94+1</f>
        <v/>
      </c>
      <c r="B95" s="28">
        <f>O94</f>
        <v/>
      </c>
      <c r="C95" s="33">
        <f>1-(1-CF_CPR)^(1/12)</f>
        <v/>
      </c>
      <c r="D95" s="33">
        <f>1-(1-CF_CDR)^(1/12)</f>
        <v/>
      </c>
      <c r="E95" s="28">
        <f>B95*D95</f>
        <v/>
      </c>
      <c r="F95" s="28">
        <f>B95-E95</f>
        <v/>
      </c>
      <c r="G95" s="28">
        <f>IF(F95&gt;0.005,PMT(WAC/12,Term-A95+1,-F95),0)</f>
        <v/>
      </c>
      <c r="H95" s="28">
        <f>F95*WAC/12</f>
        <v/>
      </c>
      <c r="I95" s="28">
        <f>F95*(WAC-ServFee)/12</f>
        <v/>
      </c>
      <c r="J95" s="28">
        <f>G95-H95</f>
        <v/>
      </c>
      <c r="K95" s="28">
        <f>(F95-J95)*C95</f>
        <v/>
      </c>
      <c r="L95" s="28">
        <f>E95*Severity</f>
        <v/>
      </c>
      <c r="M95" s="28">
        <f>E95-L95</f>
        <v/>
      </c>
      <c r="N95" s="28">
        <f>J95+K95+M95</f>
        <v/>
      </c>
      <c r="O95" s="28">
        <f>F95-J95-K95</f>
        <v/>
      </c>
      <c r="P95" s="28">
        <f>I95+N95</f>
        <v/>
      </c>
      <c r="Q95" s="36">
        <f>(1+CF_Yield/12)^-A95</f>
        <v/>
      </c>
      <c r="R95" s="28">
        <f>P95*Q95</f>
        <v/>
      </c>
    </row>
    <row r="96">
      <c r="A96" s="26">
        <f>A95+1</f>
        <v/>
      </c>
      <c r="B96" s="28">
        <f>O95</f>
        <v/>
      </c>
      <c r="C96" s="33">
        <f>1-(1-CF_CPR)^(1/12)</f>
        <v/>
      </c>
      <c r="D96" s="33">
        <f>1-(1-CF_CDR)^(1/12)</f>
        <v/>
      </c>
      <c r="E96" s="28">
        <f>B96*D96</f>
        <v/>
      </c>
      <c r="F96" s="28">
        <f>B96-E96</f>
        <v/>
      </c>
      <c r="G96" s="28">
        <f>IF(F96&gt;0.005,PMT(WAC/12,Term-A96+1,-F96),0)</f>
        <v/>
      </c>
      <c r="H96" s="28">
        <f>F96*WAC/12</f>
        <v/>
      </c>
      <c r="I96" s="28">
        <f>F96*(WAC-ServFee)/12</f>
        <v/>
      </c>
      <c r="J96" s="28">
        <f>G96-H96</f>
        <v/>
      </c>
      <c r="K96" s="28">
        <f>(F96-J96)*C96</f>
        <v/>
      </c>
      <c r="L96" s="28">
        <f>E96*Severity</f>
        <v/>
      </c>
      <c r="M96" s="28">
        <f>E96-L96</f>
        <v/>
      </c>
      <c r="N96" s="28">
        <f>J96+K96+M96</f>
        <v/>
      </c>
      <c r="O96" s="28">
        <f>F96-J96-K96</f>
        <v/>
      </c>
      <c r="P96" s="28">
        <f>I96+N96</f>
        <v/>
      </c>
      <c r="Q96" s="36">
        <f>(1+CF_Yield/12)^-A96</f>
        <v/>
      </c>
      <c r="R96" s="28">
        <f>P96*Q96</f>
        <v/>
      </c>
    </row>
    <row r="97">
      <c r="A97" s="26">
        <f>A96+1</f>
        <v/>
      </c>
      <c r="B97" s="28">
        <f>O96</f>
        <v/>
      </c>
      <c r="C97" s="33">
        <f>1-(1-CF_CPR)^(1/12)</f>
        <v/>
      </c>
      <c r="D97" s="33">
        <f>1-(1-CF_CDR)^(1/12)</f>
        <v/>
      </c>
      <c r="E97" s="28">
        <f>B97*D97</f>
        <v/>
      </c>
      <c r="F97" s="28">
        <f>B97-E97</f>
        <v/>
      </c>
      <c r="G97" s="28">
        <f>IF(F97&gt;0.005,PMT(WAC/12,Term-A97+1,-F97),0)</f>
        <v/>
      </c>
      <c r="H97" s="28">
        <f>F97*WAC/12</f>
        <v/>
      </c>
      <c r="I97" s="28">
        <f>F97*(WAC-ServFee)/12</f>
        <v/>
      </c>
      <c r="J97" s="28">
        <f>G97-H97</f>
        <v/>
      </c>
      <c r="K97" s="28">
        <f>(F97-J97)*C97</f>
        <v/>
      </c>
      <c r="L97" s="28">
        <f>E97*Severity</f>
        <v/>
      </c>
      <c r="M97" s="28">
        <f>E97-L97</f>
        <v/>
      </c>
      <c r="N97" s="28">
        <f>J97+K97+M97</f>
        <v/>
      </c>
      <c r="O97" s="28">
        <f>F97-J97-K97</f>
        <v/>
      </c>
      <c r="P97" s="28">
        <f>I97+N97</f>
        <v/>
      </c>
      <c r="Q97" s="36">
        <f>(1+CF_Yield/12)^-A97</f>
        <v/>
      </c>
      <c r="R97" s="28">
        <f>P97*Q97</f>
        <v/>
      </c>
    </row>
    <row r="98">
      <c r="A98" s="26">
        <f>A97+1</f>
        <v/>
      </c>
      <c r="B98" s="28">
        <f>O97</f>
        <v/>
      </c>
      <c r="C98" s="33">
        <f>1-(1-CF_CPR)^(1/12)</f>
        <v/>
      </c>
      <c r="D98" s="33">
        <f>1-(1-CF_CDR)^(1/12)</f>
        <v/>
      </c>
      <c r="E98" s="28">
        <f>B98*D98</f>
        <v/>
      </c>
      <c r="F98" s="28">
        <f>B98-E98</f>
        <v/>
      </c>
      <c r="G98" s="28">
        <f>IF(F98&gt;0.005,PMT(WAC/12,Term-A98+1,-F98),0)</f>
        <v/>
      </c>
      <c r="H98" s="28">
        <f>F98*WAC/12</f>
        <v/>
      </c>
      <c r="I98" s="28">
        <f>F98*(WAC-ServFee)/12</f>
        <v/>
      </c>
      <c r="J98" s="28">
        <f>G98-H98</f>
        <v/>
      </c>
      <c r="K98" s="28">
        <f>(F98-J98)*C98</f>
        <v/>
      </c>
      <c r="L98" s="28">
        <f>E98*Severity</f>
        <v/>
      </c>
      <c r="M98" s="28">
        <f>E98-L98</f>
        <v/>
      </c>
      <c r="N98" s="28">
        <f>J98+K98+M98</f>
        <v/>
      </c>
      <c r="O98" s="28">
        <f>F98-J98-K98</f>
        <v/>
      </c>
      <c r="P98" s="28">
        <f>I98+N98</f>
        <v/>
      </c>
      <c r="Q98" s="36">
        <f>(1+CF_Yield/12)^-A98</f>
        <v/>
      </c>
      <c r="R98" s="28">
        <f>P98*Q98</f>
        <v/>
      </c>
    </row>
    <row r="99">
      <c r="A99" s="26">
        <f>A98+1</f>
        <v/>
      </c>
      <c r="B99" s="28">
        <f>O98</f>
        <v/>
      </c>
      <c r="C99" s="33">
        <f>1-(1-CF_CPR)^(1/12)</f>
        <v/>
      </c>
      <c r="D99" s="33">
        <f>1-(1-CF_CDR)^(1/12)</f>
        <v/>
      </c>
      <c r="E99" s="28">
        <f>B99*D99</f>
        <v/>
      </c>
      <c r="F99" s="28">
        <f>B99-E99</f>
        <v/>
      </c>
      <c r="G99" s="28">
        <f>IF(F99&gt;0.005,PMT(WAC/12,Term-A99+1,-F99),0)</f>
        <v/>
      </c>
      <c r="H99" s="28">
        <f>F99*WAC/12</f>
        <v/>
      </c>
      <c r="I99" s="28">
        <f>F99*(WAC-ServFee)/12</f>
        <v/>
      </c>
      <c r="J99" s="28">
        <f>G99-H99</f>
        <v/>
      </c>
      <c r="K99" s="28">
        <f>(F99-J99)*C99</f>
        <v/>
      </c>
      <c r="L99" s="28">
        <f>E99*Severity</f>
        <v/>
      </c>
      <c r="M99" s="28">
        <f>E99-L99</f>
        <v/>
      </c>
      <c r="N99" s="28">
        <f>J99+K99+M99</f>
        <v/>
      </c>
      <c r="O99" s="28">
        <f>F99-J99-K99</f>
        <v/>
      </c>
      <c r="P99" s="28">
        <f>I99+N99</f>
        <v/>
      </c>
      <c r="Q99" s="36">
        <f>(1+CF_Yield/12)^-A99</f>
        <v/>
      </c>
      <c r="R99" s="28">
        <f>P99*Q99</f>
        <v/>
      </c>
    </row>
    <row r="100">
      <c r="A100" s="26">
        <f>A99+1</f>
        <v/>
      </c>
      <c r="B100" s="28">
        <f>O99</f>
        <v/>
      </c>
      <c r="C100" s="33">
        <f>1-(1-CF_CPR)^(1/12)</f>
        <v/>
      </c>
      <c r="D100" s="33">
        <f>1-(1-CF_CDR)^(1/12)</f>
        <v/>
      </c>
      <c r="E100" s="28">
        <f>B100*D100</f>
        <v/>
      </c>
      <c r="F100" s="28">
        <f>B100-E100</f>
        <v/>
      </c>
      <c r="G100" s="28">
        <f>IF(F100&gt;0.005,PMT(WAC/12,Term-A100+1,-F100),0)</f>
        <v/>
      </c>
      <c r="H100" s="28">
        <f>F100*WAC/12</f>
        <v/>
      </c>
      <c r="I100" s="28">
        <f>F100*(WAC-ServFee)/12</f>
        <v/>
      </c>
      <c r="J100" s="28">
        <f>G100-H100</f>
        <v/>
      </c>
      <c r="K100" s="28">
        <f>(F100-J100)*C100</f>
        <v/>
      </c>
      <c r="L100" s="28">
        <f>E100*Severity</f>
        <v/>
      </c>
      <c r="M100" s="28">
        <f>E100-L100</f>
        <v/>
      </c>
      <c r="N100" s="28">
        <f>J100+K100+M100</f>
        <v/>
      </c>
      <c r="O100" s="28">
        <f>F100-J100-K100</f>
        <v/>
      </c>
      <c r="P100" s="28">
        <f>I100+N100</f>
        <v/>
      </c>
      <c r="Q100" s="36">
        <f>(1+CF_Yield/12)^-A100</f>
        <v/>
      </c>
      <c r="R100" s="28">
        <f>P100*Q100</f>
        <v/>
      </c>
    </row>
    <row r="101">
      <c r="A101" s="26">
        <f>A100+1</f>
        <v/>
      </c>
      <c r="B101" s="28">
        <f>O100</f>
        <v/>
      </c>
      <c r="C101" s="33">
        <f>1-(1-CF_CPR)^(1/12)</f>
        <v/>
      </c>
      <c r="D101" s="33">
        <f>1-(1-CF_CDR)^(1/12)</f>
        <v/>
      </c>
      <c r="E101" s="28">
        <f>B101*D101</f>
        <v/>
      </c>
      <c r="F101" s="28">
        <f>B101-E101</f>
        <v/>
      </c>
      <c r="G101" s="28">
        <f>IF(F101&gt;0.005,PMT(WAC/12,Term-A101+1,-F101),0)</f>
        <v/>
      </c>
      <c r="H101" s="28">
        <f>F101*WAC/12</f>
        <v/>
      </c>
      <c r="I101" s="28">
        <f>F101*(WAC-ServFee)/12</f>
        <v/>
      </c>
      <c r="J101" s="28">
        <f>G101-H101</f>
        <v/>
      </c>
      <c r="K101" s="28">
        <f>(F101-J101)*C101</f>
        <v/>
      </c>
      <c r="L101" s="28">
        <f>E101*Severity</f>
        <v/>
      </c>
      <c r="M101" s="28">
        <f>E101-L101</f>
        <v/>
      </c>
      <c r="N101" s="28">
        <f>J101+K101+M101</f>
        <v/>
      </c>
      <c r="O101" s="28">
        <f>F101-J101-K101</f>
        <v/>
      </c>
      <c r="P101" s="28">
        <f>I101+N101</f>
        <v/>
      </c>
      <c r="Q101" s="36">
        <f>(1+CF_Yield/12)^-A101</f>
        <v/>
      </c>
      <c r="R101" s="28">
        <f>P101*Q101</f>
        <v/>
      </c>
    </row>
    <row r="102">
      <c r="A102" s="26">
        <f>A101+1</f>
        <v/>
      </c>
      <c r="B102" s="28">
        <f>O101</f>
        <v/>
      </c>
      <c r="C102" s="33">
        <f>1-(1-CF_CPR)^(1/12)</f>
        <v/>
      </c>
      <c r="D102" s="33">
        <f>1-(1-CF_CDR)^(1/12)</f>
        <v/>
      </c>
      <c r="E102" s="28">
        <f>B102*D102</f>
        <v/>
      </c>
      <c r="F102" s="28">
        <f>B102-E102</f>
        <v/>
      </c>
      <c r="G102" s="28">
        <f>IF(F102&gt;0.005,PMT(WAC/12,Term-A102+1,-F102),0)</f>
        <v/>
      </c>
      <c r="H102" s="28">
        <f>F102*WAC/12</f>
        <v/>
      </c>
      <c r="I102" s="28">
        <f>F102*(WAC-ServFee)/12</f>
        <v/>
      </c>
      <c r="J102" s="28">
        <f>G102-H102</f>
        <v/>
      </c>
      <c r="K102" s="28">
        <f>(F102-J102)*C102</f>
        <v/>
      </c>
      <c r="L102" s="28">
        <f>E102*Severity</f>
        <v/>
      </c>
      <c r="M102" s="28">
        <f>E102-L102</f>
        <v/>
      </c>
      <c r="N102" s="28">
        <f>J102+K102+M102</f>
        <v/>
      </c>
      <c r="O102" s="28">
        <f>F102-J102-K102</f>
        <v/>
      </c>
      <c r="P102" s="28">
        <f>I102+N102</f>
        <v/>
      </c>
      <c r="Q102" s="36">
        <f>(1+CF_Yield/12)^-A102</f>
        <v/>
      </c>
      <c r="R102" s="28">
        <f>P102*Q102</f>
        <v/>
      </c>
    </row>
    <row r="103">
      <c r="A103" s="26">
        <f>A102+1</f>
        <v/>
      </c>
      <c r="B103" s="28">
        <f>O102</f>
        <v/>
      </c>
      <c r="C103" s="33">
        <f>1-(1-CF_CPR)^(1/12)</f>
        <v/>
      </c>
      <c r="D103" s="33">
        <f>1-(1-CF_CDR)^(1/12)</f>
        <v/>
      </c>
      <c r="E103" s="28">
        <f>B103*D103</f>
        <v/>
      </c>
      <c r="F103" s="28">
        <f>B103-E103</f>
        <v/>
      </c>
      <c r="G103" s="28">
        <f>IF(F103&gt;0.005,PMT(WAC/12,Term-A103+1,-F103),0)</f>
        <v/>
      </c>
      <c r="H103" s="28">
        <f>F103*WAC/12</f>
        <v/>
      </c>
      <c r="I103" s="28">
        <f>F103*(WAC-ServFee)/12</f>
        <v/>
      </c>
      <c r="J103" s="28">
        <f>G103-H103</f>
        <v/>
      </c>
      <c r="K103" s="28">
        <f>(F103-J103)*C103</f>
        <v/>
      </c>
      <c r="L103" s="28">
        <f>E103*Severity</f>
        <v/>
      </c>
      <c r="M103" s="28">
        <f>E103-L103</f>
        <v/>
      </c>
      <c r="N103" s="28">
        <f>J103+K103+M103</f>
        <v/>
      </c>
      <c r="O103" s="28">
        <f>F103-J103-K103</f>
        <v/>
      </c>
      <c r="P103" s="28">
        <f>I103+N103</f>
        <v/>
      </c>
      <c r="Q103" s="36">
        <f>(1+CF_Yield/12)^-A103</f>
        <v/>
      </c>
      <c r="R103" s="28">
        <f>P103*Q103</f>
        <v/>
      </c>
    </row>
    <row r="104">
      <c r="A104" s="26">
        <f>A103+1</f>
        <v/>
      </c>
      <c r="B104" s="28">
        <f>O103</f>
        <v/>
      </c>
      <c r="C104" s="33">
        <f>1-(1-CF_CPR)^(1/12)</f>
        <v/>
      </c>
      <c r="D104" s="33">
        <f>1-(1-CF_CDR)^(1/12)</f>
        <v/>
      </c>
      <c r="E104" s="28">
        <f>B104*D104</f>
        <v/>
      </c>
      <c r="F104" s="28">
        <f>B104-E104</f>
        <v/>
      </c>
      <c r="G104" s="28">
        <f>IF(F104&gt;0.005,PMT(WAC/12,Term-A104+1,-F104),0)</f>
        <v/>
      </c>
      <c r="H104" s="28">
        <f>F104*WAC/12</f>
        <v/>
      </c>
      <c r="I104" s="28">
        <f>F104*(WAC-ServFee)/12</f>
        <v/>
      </c>
      <c r="J104" s="28">
        <f>G104-H104</f>
        <v/>
      </c>
      <c r="K104" s="28">
        <f>(F104-J104)*C104</f>
        <v/>
      </c>
      <c r="L104" s="28">
        <f>E104*Severity</f>
        <v/>
      </c>
      <c r="M104" s="28">
        <f>E104-L104</f>
        <v/>
      </c>
      <c r="N104" s="28">
        <f>J104+K104+M104</f>
        <v/>
      </c>
      <c r="O104" s="28">
        <f>F104-J104-K104</f>
        <v/>
      </c>
      <c r="P104" s="28">
        <f>I104+N104</f>
        <v/>
      </c>
      <c r="Q104" s="36">
        <f>(1+CF_Yield/12)^-A104</f>
        <v/>
      </c>
      <c r="R104" s="28">
        <f>P104*Q104</f>
        <v/>
      </c>
    </row>
    <row r="105">
      <c r="A105" s="26">
        <f>A104+1</f>
        <v/>
      </c>
      <c r="B105" s="28">
        <f>O104</f>
        <v/>
      </c>
      <c r="C105" s="33">
        <f>1-(1-CF_CPR)^(1/12)</f>
        <v/>
      </c>
      <c r="D105" s="33">
        <f>1-(1-CF_CDR)^(1/12)</f>
        <v/>
      </c>
      <c r="E105" s="28">
        <f>B105*D105</f>
        <v/>
      </c>
      <c r="F105" s="28">
        <f>B105-E105</f>
        <v/>
      </c>
      <c r="G105" s="28">
        <f>IF(F105&gt;0.005,PMT(WAC/12,Term-A105+1,-F105),0)</f>
        <v/>
      </c>
      <c r="H105" s="28">
        <f>F105*WAC/12</f>
        <v/>
      </c>
      <c r="I105" s="28">
        <f>F105*(WAC-ServFee)/12</f>
        <v/>
      </c>
      <c r="J105" s="28">
        <f>G105-H105</f>
        <v/>
      </c>
      <c r="K105" s="28">
        <f>(F105-J105)*C105</f>
        <v/>
      </c>
      <c r="L105" s="28">
        <f>E105*Severity</f>
        <v/>
      </c>
      <c r="M105" s="28">
        <f>E105-L105</f>
        <v/>
      </c>
      <c r="N105" s="28">
        <f>J105+K105+M105</f>
        <v/>
      </c>
      <c r="O105" s="28">
        <f>F105-J105-K105</f>
        <v/>
      </c>
      <c r="P105" s="28">
        <f>I105+N105</f>
        <v/>
      </c>
      <c r="Q105" s="36">
        <f>(1+CF_Yield/12)^-A105</f>
        <v/>
      </c>
      <c r="R105" s="28">
        <f>P105*Q105</f>
        <v/>
      </c>
    </row>
    <row r="106">
      <c r="A106" s="26">
        <f>A105+1</f>
        <v/>
      </c>
      <c r="B106" s="28">
        <f>O105</f>
        <v/>
      </c>
      <c r="C106" s="33">
        <f>1-(1-CF_CPR)^(1/12)</f>
        <v/>
      </c>
      <c r="D106" s="33">
        <f>1-(1-CF_CDR)^(1/12)</f>
        <v/>
      </c>
      <c r="E106" s="28">
        <f>B106*D106</f>
        <v/>
      </c>
      <c r="F106" s="28">
        <f>B106-E106</f>
        <v/>
      </c>
      <c r="G106" s="28">
        <f>IF(F106&gt;0.005,PMT(WAC/12,Term-A106+1,-F106),0)</f>
        <v/>
      </c>
      <c r="H106" s="28">
        <f>F106*WAC/12</f>
        <v/>
      </c>
      <c r="I106" s="28">
        <f>F106*(WAC-ServFee)/12</f>
        <v/>
      </c>
      <c r="J106" s="28">
        <f>G106-H106</f>
        <v/>
      </c>
      <c r="K106" s="28">
        <f>(F106-J106)*C106</f>
        <v/>
      </c>
      <c r="L106" s="28">
        <f>E106*Severity</f>
        <v/>
      </c>
      <c r="M106" s="28">
        <f>E106-L106</f>
        <v/>
      </c>
      <c r="N106" s="28">
        <f>J106+K106+M106</f>
        <v/>
      </c>
      <c r="O106" s="28">
        <f>F106-J106-K106</f>
        <v/>
      </c>
      <c r="P106" s="28">
        <f>I106+N106</f>
        <v/>
      </c>
      <c r="Q106" s="36">
        <f>(1+CF_Yield/12)^-A106</f>
        <v/>
      </c>
      <c r="R106" s="28">
        <f>P106*Q106</f>
        <v/>
      </c>
    </row>
    <row r="107">
      <c r="A107" s="26">
        <f>A106+1</f>
        <v/>
      </c>
      <c r="B107" s="28">
        <f>O106</f>
        <v/>
      </c>
      <c r="C107" s="33">
        <f>1-(1-CF_CPR)^(1/12)</f>
        <v/>
      </c>
      <c r="D107" s="33">
        <f>1-(1-CF_CDR)^(1/12)</f>
        <v/>
      </c>
      <c r="E107" s="28">
        <f>B107*D107</f>
        <v/>
      </c>
      <c r="F107" s="28">
        <f>B107-E107</f>
        <v/>
      </c>
      <c r="G107" s="28">
        <f>IF(F107&gt;0.005,PMT(WAC/12,Term-A107+1,-F107),0)</f>
        <v/>
      </c>
      <c r="H107" s="28">
        <f>F107*WAC/12</f>
        <v/>
      </c>
      <c r="I107" s="28">
        <f>F107*(WAC-ServFee)/12</f>
        <v/>
      </c>
      <c r="J107" s="28">
        <f>G107-H107</f>
        <v/>
      </c>
      <c r="K107" s="28">
        <f>(F107-J107)*C107</f>
        <v/>
      </c>
      <c r="L107" s="28">
        <f>E107*Severity</f>
        <v/>
      </c>
      <c r="M107" s="28">
        <f>E107-L107</f>
        <v/>
      </c>
      <c r="N107" s="28">
        <f>J107+K107+M107</f>
        <v/>
      </c>
      <c r="O107" s="28">
        <f>F107-J107-K107</f>
        <v/>
      </c>
      <c r="P107" s="28">
        <f>I107+N107</f>
        <v/>
      </c>
      <c r="Q107" s="36">
        <f>(1+CF_Yield/12)^-A107</f>
        <v/>
      </c>
      <c r="R107" s="28">
        <f>P107*Q107</f>
        <v/>
      </c>
    </row>
    <row r="108">
      <c r="A108" s="26">
        <f>A107+1</f>
        <v/>
      </c>
      <c r="B108" s="28">
        <f>O107</f>
        <v/>
      </c>
      <c r="C108" s="33">
        <f>1-(1-CF_CPR)^(1/12)</f>
        <v/>
      </c>
      <c r="D108" s="33">
        <f>1-(1-CF_CDR)^(1/12)</f>
        <v/>
      </c>
      <c r="E108" s="28">
        <f>B108*D108</f>
        <v/>
      </c>
      <c r="F108" s="28">
        <f>B108-E108</f>
        <v/>
      </c>
      <c r="G108" s="28">
        <f>IF(F108&gt;0.005,PMT(WAC/12,Term-A108+1,-F108),0)</f>
        <v/>
      </c>
      <c r="H108" s="28">
        <f>F108*WAC/12</f>
        <v/>
      </c>
      <c r="I108" s="28">
        <f>F108*(WAC-ServFee)/12</f>
        <v/>
      </c>
      <c r="J108" s="28">
        <f>G108-H108</f>
        <v/>
      </c>
      <c r="K108" s="28">
        <f>(F108-J108)*C108</f>
        <v/>
      </c>
      <c r="L108" s="28">
        <f>E108*Severity</f>
        <v/>
      </c>
      <c r="M108" s="28">
        <f>E108-L108</f>
        <v/>
      </c>
      <c r="N108" s="28">
        <f>J108+K108+M108</f>
        <v/>
      </c>
      <c r="O108" s="28">
        <f>F108-J108-K108</f>
        <v/>
      </c>
      <c r="P108" s="28">
        <f>I108+N108</f>
        <v/>
      </c>
      <c r="Q108" s="36">
        <f>(1+CF_Yield/12)^-A108</f>
        <v/>
      </c>
      <c r="R108" s="28">
        <f>P108*Q108</f>
        <v/>
      </c>
    </row>
    <row r="109">
      <c r="A109" s="26">
        <f>A108+1</f>
        <v/>
      </c>
      <c r="B109" s="28">
        <f>O108</f>
        <v/>
      </c>
      <c r="C109" s="33">
        <f>1-(1-CF_CPR)^(1/12)</f>
        <v/>
      </c>
      <c r="D109" s="33">
        <f>1-(1-CF_CDR)^(1/12)</f>
        <v/>
      </c>
      <c r="E109" s="28">
        <f>B109*D109</f>
        <v/>
      </c>
      <c r="F109" s="28">
        <f>B109-E109</f>
        <v/>
      </c>
      <c r="G109" s="28">
        <f>IF(F109&gt;0.005,PMT(WAC/12,Term-A109+1,-F109),0)</f>
        <v/>
      </c>
      <c r="H109" s="28">
        <f>F109*WAC/12</f>
        <v/>
      </c>
      <c r="I109" s="28">
        <f>F109*(WAC-ServFee)/12</f>
        <v/>
      </c>
      <c r="J109" s="28">
        <f>G109-H109</f>
        <v/>
      </c>
      <c r="K109" s="28">
        <f>(F109-J109)*C109</f>
        <v/>
      </c>
      <c r="L109" s="28">
        <f>E109*Severity</f>
        <v/>
      </c>
      <c r="M109" s="28">
        <f>E109-L109</f>
        <v/>
      </c>
      <c r="N109" s="28">
        <f>J109+K109+M109</f>
        <v/>
      </c>
      <c r="O109" s="28">
        <f>F109-J109-K109</f>
        <v/>
      </c>
      <c r="P109" s="28">
        <f>I109+N109</f>
        <v/>
      </c>
      <c r="Q109" s="36">
        <f>(1+CF_Yield/12)^-A109</f>
        <v/>
      </c>
      <c r="R109" s="28">
        <f>P109*Q109</f>
        <v/>
      </c>
    </row>
    <row r="110">
      <c r="A110" s="26">
        <f>A109+1</f>
        <v/>
      </c>
      <c r="B110" s="28">
        <f>O109</f>
        <v/>
      </c>
      <c r="C110" s="33">
        <f>1-(1-CF_CPR)^(1/12)</f>
        <v/>
      </c>
      <c r="D110" s="33">
        <f>1-(1-CF_CDR)^(1/12)</f>
        <v/>
      </c>
      <c r="E110" s="28">
        <f>B110*D110</f>
        <v/>
      </c>
      <c r="F110" s="28">
        <f>B110-E110</f>
        <v/>
      </c>
      <c r="G110" s="28">
        <f>IF(F110&gt;0.005,PMT(WAC/12,Term-A110+1,-F110),0)</f>
        <v/>
      </c>
      <c r="H110" s="28">
        <f>F110*WAC/12</f>
        <v/>
      </c>
      <c r="I110" s="28">
        <f>F110*(WAC-ServFee)/12</f>
        <v/>
      </c>
      <c r="J110" s="28">
        <f>G110-H110</f>
        <v/>
      </c>
      <c r="K110" s="28">
        <f>(F110-J110)*C110</f>
        <v/>
      </c>
      <c r="L110" s="28">
        <f>E110*Severity</f>
        <v/>
      </c>
      <c r="M110" s="28">
        <f>E110-L110</f>
        <v/>
      </c>
      <c r="N110" s="28">
        <f>J110+K110+M110</f>
        <v/>
      </c>
      <c r="O110" s="28">
        <f>F110-J110-K110</f>
        <v/>
      </c>
      <c r="P110" s="28">
        <f>I110+N110</f>
        <v/>
      </c>
      <c r="Q110" s="36">
        <f>(1+CF_Yield/12)^-A110</f>
        <v/>
      </c>
      <c r="R110" s="28">
        <f>P110*Q110</f>
        <v/>
      </c>
    </row>
    <row r="111">
      <c r="A111" s="26">
        <f>A110+1</f>
        <v/>
      </c>
      <c r="B111" s="28">
        <f>O110</f>
        <v/>
      </c>
      <c r="C111" s="33">
        <f>1-(1-CF_CPR)^(1/12)</f>
        <v/>
      </c>
      <c r="D111" s="33">
        <f>1-(1-CF_CDR)^(1/12)</f>
        <v/>
      </c>
      <c r="E111" s="28">
        <f>B111*D111</f>
        <v/>
      </c>
      <c r="F111" s="28">
        <f>B111-E111</f>
        <v/>
      </c>
      <c r="G111" s="28">
        <f>IF(F111&gt;0.005,PMT(WAC/12,Term-A111+1,-F111),0)</f>
        <v/>
      </c>
      <c r="H111" s="28">
        <f>F111*WAC/12</f>
        <v/>
      </c>
      <c r="I111" s="28">
        <f>F111*(WAC-ServFee)/12</f>
        <v/>
      </c>
      <c r="J111" s="28">
        <f>G111-H111</f>
        <v/>
      </c>
      <c r="K111" s="28">
        <f>(F111-J111)*C111</f>
        <v/>
      </c>
      <c r="L111" s="28">
        <f>E111*Severity</f>
        <v/>
      </c>
      <c r="M111" s="28">
        <f>E111-L111</f>
        <v/>
      </c>
      <c r="N111" s="28">
        <f>J111+K111+M111</f>
        <v/>
      </c>
      <c r="O111" s="28">
        <f>F111-J111-K111</f>
        <v/>
      </c>
      <c r="P111" s="28">
        <f>I111+N111</f>
        <v/>
      </c>
      <c r="Q111" s="36">
        <f>(1+CF_Yield/12)^-A111</f>
        <v/>
      </c>
      <c r="R111" s="28">
        <f>P111*Q111</f>
        <v/>
      </c>
    </row>
    <row r="112">
      <c r="A112" s="26">
        <f>A111+1</f>
        <v/>
      </c>
      <c r="B112" s="28">
        <f>O111</f>
        <v/>
      </c>
      <c r="C112" s="33">
        <f>1-(1-CF_CPR)^(1/12)</f>
        <v/>
      </c>
      <c r="D112" s="33">
        <f>1-(1-CF_CDR)^(1/12)</f>
        <v/>
      </c>
      <c r="E112" s="28">
        <f>B112*D112</f>
        <v/>
      </c>
      <c r="F112" s="28">
        <f>B112-E112</f>
        <v/>
      </c>
      <c r="G112" s="28">
        <f>IF(F112&gt;0.005,PMT(WAC/12,Term-A112+1,-F112),0)</f>
        <v/>
      </c>
      <c r="H112" s="28">
        <f>F112*WAC/12</f>
        <v/>
      </c>
      <c r="I112" s="28">
        <f>F112*(WAC-ServFee)/12</f>
        <v/>
      </c>
      <c r="J112" s="28">
        <f>G112-H112</f>
        <v/>
      </c>
      <c r="K112" s="28">
        <f>(F112-J112)*C112</f>
        <v/>
      </c>
      <c r="L112" s="28">
        <f>E112*Severity</f>
        <v/>
      </c>
      <c r="M112" s="28">
        <f>E112-L112</f>
        <v/>
      </c>
      <c r="N112" s="28">
        <f>J112+K112+M112</f>
        <v/>
      </c>
      <c r="O112" s="28">
        <f>F112-J112-K112</f>
        <v/>
      </c>
      <c r="P112" s="28">
        <f>I112+N112</f>
        <v/>
      </c>
      <c r="Q112" s="36">
        <f>(1+CF_Yield/12)^-A112</f>
        <v/>
      </c>
      <c r="R112" s="28">
        <f>P112*Q112</f>
        <v/>
      </c>
    </row>
    <row r="113">
      <c r="A113" s="26">
        <f>A112+1</f>
        <v/>
      </c>
      <c r="B113" s="28">
        <f>O112</f>
        <v/>
      </c>
      <c r="C113" s="33">
        <f>1-(1-CF_CPR)^(1/12)</f>
        <v/>
      </c>
      <c r="D113" s="33">
        <f>1-(1-CF_CDR)^(1/12)</f>
        <v/>
      </c>
      <c r="E113" s="28">
        <f>B113*D113</f>
        <v/>
      </c>
      <c r="F113" s="28">
        <f>B113-E113</f>
        <v/>
      </c>
      <c r="G113" s="28">
        <f>IF(F113&gt;0.005,PMT(WAC/12,Term-A113+1,-F113),0)</f>
        <v/>
      </c>
      <c r="H113" s="28">
        <f>F113*WAC/12</f>
        <v/>
      </c>
      <c r="I113" s="28">
        <f>F113*(WAC-ServFee)/12</f>
        <v/>
      </c>
      <c r="J113" s="28">
        <f>G113-H113</f>
        <v/>
      </c>
      <c r="K113" s="28">
        <f>(F113-J113)*C113</f>
        <v/>
      </c>
      <c r="L113" s="28">
        <f>E113*Severity</f>
        <v/>
      </c>
      <c r="M113" s="28">
        <f>E113-L113</f>
        <v/>
      </c>
      <c r="N113" s="28">
        <f>J113+K113+M113</f>
        <v/>
      </c>
      <c r="O113" s="28">
        <f>F113-J113-K113</f>
        <v/>
      </c>
      <c r="P113" s="28">
        <f>I113+N113</f>
        <v/>
      </c>
      <c r="Q113" s="36">
        <f>(1+CF_Yield/12)^-A113</f>
        <v/>
      </c>
      <c r="R113" s="28">
        <f>P113*Q113</f>
        <v/>
      </c>
    </row>
    <row r="114">
      <c r="A114" s="26">
        <f>A113+1</f>
        <v/>
      </c>
      <c r="B114" s="28">
        <f>O113</f>
        <v/>
      </c>
      <c r="C114" s="33">
        <f>1-(1-CF_CPR)^(1/12)</f>
        <v/>
      </c>
      <c r="D114" s="33">
        <f>1-(1-CF_CDR)^(1/12)</f>
        <v/>
      </c>
      <c r="E114" s="28">
        <f>B114*D114</f>
        <v/>
      </c>
      <c r="F114" s="28">
        <f>B114-E114</f>
        <v/>
      </c>
      <c r="G114" s="28">
        <f>IF(F114&gt;0.005,PMT(WAC/12,Term-A114+1,-F114),0)</f>
        <v/>
      </c>
      <c r="H114" s="28">
        <f>F114*WAC/12</f>
        <v/>
      </c>
      <c r="I114" s="28">
        <f>F114*(WAC-ServFee)/12</f>
        <v/>
      </c>
      <c r="J114" s="28">
        <f>G114-H114</f>
        <v/>
      </c>
      <c r="K114" s="28">
        <f>(F114-J114)*C114</f>
        <v/>
      </c>
      <c r="L114" s="28">
        <f>E114*Severity</f>
        <v/>
      </c>
      <c r="M114" s="28">
        <f>E114-L114</f>
        <v/>
      </c>
      <c r="N114" s="28">
        <f>J114+K114+M114</f>
        <v/>
      </c>
      <c r="O114" s="28">
        <f>F114-J114-K114</f>
        <v/>
      </c>
      <c r="P114" s="28">
        <f>I114+N114</f>
        <v/>
      </c>
      <c r="Q114" s="36">
        <f>(1+CF_Yield/12)^-A114</f>
        <v/>
      </c>
      <c r="R114" s="28">
        <f>P114*Q114</f>
        <v/>
      </c>
    </row>
    <row r="115">
      <c r="A115" s="26">
        <f>A114+1</f>
        <v/>
      </c>
      <c r="B115" s="28">
        <f>O114</f>
        <v/>
      </c>
      <c r="C115" s="33">
        <f>1-(1-CF_CPR)^(1/12)</f>
        <v/>
      </c>
      <c r="D115" s="33">
        <f>1-(1-CF_CDR)^(1/12)</f>
        <v/>
      </c>
      <c r="E115" s="28">
        <f>B115*D115</f>
        <v/>
      </c>
      <c r="F115" s="28">
        <f>B115-E115</f>
        <v/>
      </c>
      <c r="G115" s="28">
        <f>IF(F115&gt;0.005,PMT(WAC/12,Term-A115+1,-F115),0)</f>
        <v/>
      </c>
      <c r="H115" s="28">
        <f>F115*WAC/12</f>
        <v/>
      </c>
      <c r="I115" s="28">
        <f>F115*(WAC-ServFee)/12</f>
        <v/>
      </c>
      <c r="J115" s="28">
        <f>G115-H115</f>
        <v/>
      </c>
      <c r="K115" s="28">
        <f>(F115-J115)*C115</f>
        <v/>
      </c>
      <c r="L115" s="28">
        <f>E115*Severity</f>
        <v/>
      </c>
      <c r="M115" s="28">
        <f>E115-L115</f>
        <v/>
      </c>
      <c r="N115" s="28">
        <f>J115+K115+M115</f>
        <v/>
      </c>
      <c r="O115" s="28">
        <f>F115-J115-K115</f>
        <v/>
      </c>
      <c r="P115" s="28">
        <f>I115+N115</f>
        <v/>
      </c>
      <c r="Q115" s="36">
        <f>(1+CF_Yield/12)^-A115</f>
        <v/>
      </c>
      <c r="R115" s="28">
        <f>P115*Q115</f>
        <v/>
      </c>
    </row>
    <row r="116">
      <c r="A116" s="26">
        <f>A115+1</f>
        <v/>
      </c>
      <c r="B116" s="28">
        <f>O115</f>
        <v/>
      </c>
      <c r="C116" s="33">
        <f>1-(1-CF_CPR)^(1/12)</f>
        <v/>
      </c>
      <c r="D116" s="33">
        <f>1-(1-CF_CDR)^(1/12)</f>
        <v/>
      </c>
      <c r="E116" s="28">
        <f>B116*D116</f>
        <v/>
      </c>
      <c r="F116" s="28">
        <f>B116-E116</f>
        <v/>
      </c>
      <c r="G116" s="28">
        <f>IF(F116&gt;0.005,PMT(WAC/12,Term-A116+1,-F116),0)</f>
        <v/>
      </c>
      <c r="H116" s="28">
        <f>F116*WAC/12</f>
        <v/>
      </c>
      <c r="I116" s="28">
        <f>F116*(WAC-ServFee)/12</f>
        <v/>
      </c>
      <c r="J116" s="28">
        <f>G116-H116</f>
        <v/>
      </c>
      <c r="K116" s="28">
        <f>(F116-J116)*C116</f>
        <v/>
      </c>
      <c r="L116" s="28">
        <f>E116*Severity</f>
        <v/>
      </c>
      <c r="M116" s="28">
        <f>E116-L116</f>
        <v/>
      </c>
      <c r="N116" s="28">
        <f>J116+K116+M116</f>
        <v/>
      </c>
      <c r="O116" s="28">
        <f>F116-J116-K116</f>
        <v/>
      </c>
      <c r="P116" s="28">
        <f>I116+N116</f>
        <v/>
      </c>
      <c r="Q116" s="36">
        <f>(1+CF_Yield/12)^-A116</f>
        <v/>
      </c>
      <c r="R116" s="28">
        <f>P116*Q116</f>
        <v/>
      </c>
    </row>
    <row r="117">
      <c r="A117" s="26">
        <f>A116+1</f>
        <v/>
      </c>
      <c r="B117" s="28">
        <f>O116</f>
        <v/>
      </c>
      <c r="C117" s="33">
        <f>1-(1-CF_CPR)^(1/12)</f>
        <v/>
      </c>
      <c r="D117" s="33">
        <f>1-(1-CF_CDR)^(1/12)</f>
        <v/>
      </c>
      <c r="E117" s="28">
        <f>B117*D117</f>
        <v/>
      </c>
      <c r="F117" s="28">
        <f>B117-E117</f>
        <v/>
      </c>
      <c r="G117" s="28">
        <f>IF(F117&gt;0.005,PMT(WAC/12,Term-A117+1,-F117),0)</f>
        <v/>
      </c>
      <c r="H117" s="28">
        <f>F117*WAC/12</f>
        <v/>
      </c>
      <c r="I117" s="28">
        <f>F117*(WAC-ServFee)/12</f>
        <v/>
      </c>
      <c r="J117" s="28">
        <f>G117-H117</f>
        <v/>
      </c>
      <c r="K117" s="28">
        <f>(F117-J117)*C117</f>
        <v/>
      </c>
      <c r="L117" s="28">
        <f>E117*Severity</f>
        <v/>
      </c>
      <c r="M117" s="28">
        <f>E117-L117</f>
        <v/>
      </c>
      <c r="N117" s="28">
        <f>J117+K117+M117</f>
        <v/>
      </c>
      <c r="O117" s="28">
        <f>F117-J117-K117</f>
        <v/>
      </c>
      <c r="P117" s="28">
        <f>I117+N117</f>
        <v/>
      </c>
      <c r="Q117" s="36">
        <f>(1+CF_Yield/12)^-A117</f>
        <v/>
      </c>
      <c r="R117" s="28">
        <f>P117*Q117</f>
        <v/>
      </c>
    </row>
    <row r="118">
      <c r="A118" s="26">
        <f>A117+1</f>
        <v/>
      </c>
      <c r="B118" s="28">
        <f>O117</f>
        <v/>
      </c>
      <c r="C118" s="33">
        <f>1-(1-CF_CPR)^(1/12)</f>
        <v/>
      </c>
      <c r="D118" s="33">
        <f>1-(1-CF_CDR)^(1/12)</f>
        <v/>
      </c>
      <c r="E118" s="28">
        <f>B118*D118</f>
        <v/>
      </c>
      <c r="F118" s="28">
        <f>B118-E118</f>
        <v/>
      </c>
      <c r="G118" s="28">
        <f>IF(F118&gt;0.005,PMT(WAC/12,Term-A118+1,-F118),0)</f>
        <v/>
      </c>
      <c r="H118" s="28">
        <f>F118*WAC/12</f>
        <v/>
      </c>
      <c r="I118" s="28">
        <f>F118*(WAC-ServFee)/12</f>
        <v/>
      </c>
      <c r="J118" s="28">
        <f>G118-H118</f>
        <v/>
      </c>
      <c r="K118" s="28">
        <f>(F118-J118)*C118</f>
        <v/>
      </c>
      <c r="L118" s="28">
        <f>E118*Severity</f>
        <v/>
      </c>
      <c r="M118" s="28">
        <f>E118-L118</f>
        <v/>
      </c>
      <c r="N118" s="28">
        <f>J118+K118+M118</f>
        <v/>
      </c>
      <c r="O118" s="28">
        <f>F118-J118-K118</f>
        <v/>
      </c>
      <c r="P118" s="28">
        <f>I118+N118</f>
        <v/>
      </c>
      <c r="Q118" s="36">
        <f>(1+CF_Yield/12)^-A118</f>
        <v/>
      </c>
      <c r="R118" s="28">
        <f>P118*Q118</f>
        <v/>
      </c>
    </row>
    <row r="119">
      <c r="A119" s="26">
        <f>A118+1</f>
        <v/>
      </c>
      <c r="B119" s="28">
        <f>O118</f>
        <v/>
      </c>
      <c r="C119" s="33">
        <f>1-(1-CF_CPR)^(1/12)</f>
        <v/>
      </c>
      <c r="D119" s="33">
        <f>1-(1-CF_CDR)^(1/12)</f>
        <v/>
      </c>
      <c r="E119" s="28">
        <f>B119*D119</f>
        <v/>
      </c>
      <c r="F119" s="28">
        <f>B119-E119</f>
        <v/>
      </c>
      <c r="G119" s="28">
        <f>IF(F119&gt;0.005,PMT(WAC/12,Term-A119+1,-F119),0)</f>
        <v/>
      </c>
      <c r="H119" s="28">
        <f>F119*WAC/12</f>
        <v/>
      </c>
      <c r="I119" s="28">
        <f>F119*(WAC-ServFee)/12</f>
        <v/>
      </c>
      <c r="J119" s="28">
        <f>G119-H119</f>
        <v/>
      </c>
      <c r="K119" s="28">
        <f>(F119-J119)*C119</f>
        <v/>
      </c>
      <c r="L119" s="28">
        <f>E119*Severity</f>
        <v/>
      </c>
      <c r="M119" s="28">
        <f>E119-L119</f>
        <v/>
      </c>
      <c r="N119" s="28">
        <f>J119+K119+M119</f>
        <v/>
      </c>
      <c r="O119" s="28">
        <f>F119-J119-K119</f>
        <v/>
      </c>
      <c r="P119" s="28">
        <f>I119+N119</f>
        <v/>
      </c>
      <c r="Q119" s="36">
        <f>(1+CF_Yield/12)^-A119</f>
        <v/>
      </c>
      <c r="R119" s="28">
        <f>P119*Q119</f>
        <v/>
      </c>
    </row>
    <row r="120">
      <c r="A120" s="26">
        <f>A119+1</f>
        <v/>
      </c>
      <c r="B120" s="28">
        <f>O119</f>
        <v/>
      </c>
      <c r="C120" s="33">
        <f>1-(1-CF_CPR)^(1/12)</f>
        <v/>
      </c>
      <c r="D120" s="33">
        <f>1-(1-CF_CDR)^(1/12)</f>
        <v/>
      </c>
      <c r="E120" s="28">
        <f>B120*D120</f>
        <v/>
      </c>
      <c r="F120" s="28">
        <f>B120-E120</f>
        <v/>
      </c>
      <c r="G120" s="28">
        <f>IF(F120&gt;0.005,PMT(WAC/12,Term-A120+1,-F120),0)</f>
        <v/>
      </c>
      <c r="H120" s="28">
        <f>F120*WAC/12</f>
        <v/>
      </c>
      <c r="I120" s="28">
        <f>F120*(WAC-ServFee)/12</f>
        <v/>
      </c>
      <c r="J120" s="28">
        <f>G120-H120</f>
        <v/>
      </c>
      <c r="K120" s="28">
        <f>(F120-J120)*C120</f>
        <v/>
      </c>
      <c r="L120" s="28">
        <f>E120*Severity</f>
        <v/>
      </c>
      <c r="M120" s="28">
        <f>E120-L120</f>
        <v/>
      </c>
      <c r="N120" s="28">
        <f>J120+K120+M120</f>
        <v/>
      </c>
      <c r="O120" s="28">
        <f>F120-J120-K120</f>
        <v/>
      </c>
      <c r="P120" s="28">
        <f>I120+N120</f>
        <v/>
      </c>
      <c r="Q120" s="36">
        <f>(1+CF_Yield/12)^-A120</f>
        <v/>
      </c>
      <c r="R120" s="28">
        <f>P120*Q120</f>
        <v/>
      </c>
    </row>
    <row r="121">
      <c r="A121" s="26">
        <f>A120+1</f>
        <v/>
      </c>
      <c r="B121" s="28">
        <f>O120</f>
        <v/>
      </c>
      <c r="C121" s="33">
        <f>1-(1-CF_CPR)^(1/12)</f>
        <v/>
      </c>
      <c r="D121" s="33">
        <f>1-(1-CF_CDR)^(1/12)</f>
        <v/>
      </c>
      <c r="E121" s="28">
        <f>B121*D121</f>
        <v/>
      </c>
      <c r="F121" s="28">
        <f>B121-E121</f>
        <v/>
      </c>
      <c r="G121" s="28">
        <f>IF(F121&gt;0.005,PMT(WAC/12,Term-A121+1,-F121),0)</f>
        <v/>
      </c>
      <c r="H121" s="28">
        <f>F121*WAC/12</f>
        <v/>
      </c>
      <c r="I121" s="28">
        <f>F121*(WAC-ServFee)/12</f>
        <v/>
      </c>
      <c r="J121" s="28">
        <f>G121-H121</f>
        <v/>
      </c>
      <c r="K121" s="28">
        <f>(F121-J121)*C121</f>
        <v/>
      </c>
      <c r="L121" s="28">
        <f>E121*Severity</f>
        <v/>
      </c>
      <c r="M121" s="28">
        <f>E121-L121</f>
        <v/>
      </c>
      <c r="N121" s="28">
        <f>J121+K121+M121</f>
        <v/>
      </c>
      <c r="O121" s="28">
        <f>F121-J121-K121</f>
        <v/>
      </c>
      <c r="P121" s="28">
        <f>I121+N121</f>
        <v/>
      </c>
      <c r="Q121" s="36">
        <f>(1+CF_Yield/12)^-A121</f>
        <v/>
      </c>
      <c r="R121" s="28">
        <f>P121*Q121</f>
        <v/>
      </c>
    </row>
    <row r="122">
      <c r="A122" s="26">
        <f>A121+1</f>
        <v/>
      </c>
      <c r="B122" s="28">
        <f>O121</f>
        <v/>
      </c>
      <c r="C122" s="33">
        <f>1-(1-CF_CPR)^(1/12)</f>
        <v/>
      </c>
      <c r="D122" s="33">
        <f>1-(1-CF_CDR)^(1/12)</f>
        <v/>
      </c>
      <c r="E122" s="28">
        <f>B122*D122</f>
        <v/>
      </c>
      <c r="F122" s="28">
        <f>B122-E122</f>
        <v/>
      </c>
      <c r="G122" s="28">
        <f>IF(F122&gt;0.005,PMT(WAC/12,Term-A122+1,-F122),0)</f>
        <v/>
      </c>
      <c r="H122" s="28">
        <f>F122*WAC/12</f>
        <v/>
      </c>
      <c r="I122" s="28">
        <f>F122*(WAC-ServFee)/12</f>
        <v/>
      </c>
      <c r="J122" s="28">
        <f>G122-H122</f>
        <v/>
      </c>
      <c r="K122" s="28">
        <f>(F122-J122)*C122</f>
        <v/>
      </c>
      <c r="L122" s="28">
        <f>E122*Severity</f>
        <v/>
      </c>
      <c r="M122" s="28">
        <f>E122-L122</f>
        <v/>
      </c>
      <c r="N122" s="28">
        <f>J122+K122+M122</f>
        <v/>
      </c>
      <c r="O122" s="28">
        <f>F122-J122-K122</f>
        <v/>
      </c>
      <c r="P122" s="28">
        <f>I122+N122</f>
        <v/>
      </c>
      <c r="Q122" s="36">
        <f>(1+CF_Yield/12)^-A122</f>
        <v/>
      </c>
      <c r="R122" s="28">
        <f>P122*Q122</f>
        <v/>
      </c>
    </row>
    <row r="123">
      <c r="A123" s="26">
        <f>A122+1</f>
        <v/>
      </c>
      <c r="B123" s="28">
        <f>O122</f>
        <v/>
      </c>
      <c r="C123" s="33">
        <f>1-(1-CF_CPR)^(1/12)</f>
        <v/>
      </c>
      <c r="D123" s="33">
        <f>1-(1-CF_CDR)^(1/12)</f>
        <v/>
      </c>
      <c r="E123" s="28">
        <f>B123*D123</f>
        <v/>
      </c>
      <c r="F123" s="28">
        <f>B123-E123</f>
        <v/>
      </c>
      <c r="G123" s="28">
        <f>IF(F123&gt;0.005,PMT(WAC/12,Term-A123+1,-F123),0)</f>
        <v/>
      </c>
      <c r="H123" s="28">
        <f>F123*WAC/12</f>
        <v/>
      </c>
      <c r="I123" s="28">
        <f>F123*(WAC-ServFee)/12</f>
        <v/>
      </c>
      <c r="J123" s="28">
        <f>G123-H123</f>
        <v/>
      </c>
      <c r="K123" s="28">
        <f>(F123-J123)*C123</f>
        <v/>
      </c>
      <c r="L123" s="28">
        <f>E123*Severity</f>
        <v/>
      </c>
      <c r="M123" s="28">
        <f>E123-L123</f>
        <v/>
      </c>
      <c r="N123" s="28">
        <f>J123+K123+M123</f>
        <v/>
      </c>
      <c r="O123" s="28">
        <f>F123-J123-K123</f>
        <v/>
      </c>
      <c r="P123" s="28">
        <f>I123+N123</f>
        <v/>
      </c>
      <c r="Q123" s="36">
        <f>(1+CF_Yield/12)^-A123</f>
        <v/>
      </c>
      <c r="R123" s="28">
        <f>P123*Q123</f>
        <v/>
      </c>
    </row>
    <row r="124">
      <c r="A124" s="26">
        <f>A123+1</f>
        <v/>
      </c>
      <c r="B124" s="28">
        <f>O123</f>
        <v/>
      </c>
      <c r="C124" s="33">
        <f>1-(1-CF_CPR)^(1/12)</f>
        <v/>
      </c>
      <c r="D124" s="33">
        <f>1-(1-CF_CDR)^(1/12)</f>
        <v/>
      </c>
      <c r="E124" s="28">
        <f>B124*D124</f>
        <v/>
      </c>
      <c r="F124" s="28">
        <f>B124-E124</f>
        <v/>
      </c>
      <c r="G124" s="28">
        <f>IF(F124&gt;0.005,PMT(WAC/12,Term-A124+1,-F124),0)</f>
        <v/>
      </c>
      <c r="H124" s="28">
        <f>F124*WAC/12</f>
        <v/>
      </c>
      <c r="I124" s="28">
        <f>F124*(WAC-ServFee)/12</f>
        <v/>
      </c>
      <c r="J124" s="28">
        <f>G124-H124</f>
        <v/>
      </c>
      <c r="K124" s="28">
        <f>(F124-J124)*C124</f>
        <v/>
      </c>
      <c r="L124" s="28">
        <f>E124*Severity</f>
        <v/>
      </c>
      <c r="M124" s="28">
        <f>E124-L124</f>
        <v/>
      </c>
      <c r="N124" s="28">
        <f>J124+K124+M124</f>
        <v/>
      </c>
      <c r="O124" s="28">
        <f>F124-J124-K124</f>
        <v/>
      </c>
      <c r="P124" s="28">
        <f>I124+N124</f>
        <v/>
      </c>
      <c r="Q124" s="36">
        <f>(1+CF_Yield/12)^-A124</f>
        <v/>
      </c>
      <c r="R124" s="28">
        <f>P124*Q124</f>
        <v/>
      </c>
    </row>
    <row r="125">
      <c r="A125" s="26">
        <f>A124+1</f>
        <v/>
      </c>
      <c r="B125" s="28">
        <f>O124</f>
        <v/>
      </c>
      <c r="C125" s="33">
        <f>1-(1-CF_CPR)^(1/12)</f>
        <v/>
      </c>
      <c r="D125" s="33">
        <f>1-(1-CF_CDR)^(1/12)</f>
        <v/>
      </c>
      <c r="E125" s="28">
        <f>B125*D125</f>
        <v/>
      </c>
      <c r="F125" s="28">
        <f>B125-E125</f>
        <v/>
      </c>
      <c r="G125" s="28">
        <f>IF(F125&gt;0.005,PMT(WAC/12,Term-A125+1,-F125),0)</f>
        <v/>
      </c>
      <c r="H125" s="28">
        <f>F125*WAC/12</f>
        <v/>
      </c>
      <c r="I125" s="28">
        <f>F125*(WAC-ServFee)/12</f>
        <v/>
      </c>
      <c r="J125" s="28">
        <f>G125-H125</f>
        <v/>
      </c>
      <c r="K125" s="28">
        <f>(F125-J125)*C125</f>
        <v/>
      </c>
      <c r="L125" s="28">
        <f>E125*Severity</f>
        <v/>
      </c>
      <c r="M125" s="28">
        <f>E125-L125</f>
        <v/>
      </c>
      <c r="N125" s="28">
        <f>J125+K125+M125</f>
        <v/>
      </c>
      <c r="O125" s="28">
        <f>F125-J125-K125</f>
        <v/>
      </c>
      <c r="P125" s="28">
        <f>I125+N125</f>
        <v/>
      </c>
      <c r="Q125" s="36">
        <f>(1+CF_Yield/12)^-A125</f>
        <v/>
      </c>
      <c r="R125" s="28">
        <f>P125*Q125</f>
        <v/>
      </c>
    </row>
    <row r="126">
      <c r="A126" s="26">
        <f>A125+1</f>
        <v/>
      </c>
      <c r="B126" s="28">
        <f>O125</f>
        <v/>
      </c>
      <c r="C126" s="33">
        <f>1-(1-CF_CPR)^(1/12)</f>
        <v/>
      </c>
      <c r="D126" s="33">
        <f>1-(1-CF_CDR)^(1/12)</f>
        <v/>
      </c>
      <c r="E126" s="28">
        <f>B126*D126</f>
        <v/>
      </c>
      <c r="F126" s="28">
        <f>B126-E126</f>
        <v/>
      </c>
      <c r="G126" s="28">
        <f>IF(F126&gt;0.005,PMT(WAC/12,Term-A126+1,-F126),0)</f>
        <v/>
      </c>
      <c r="H126" s="28">
        <f>F126*WAC/12</f>
        <v/>
      </c>
      <c r="I126" s="28">
        <f>F126*(WAC-ServFee)/12</f>
        <v/>
      </c>
      <c r="J126" s="28">
        <f>G126-H126</f>
        <v/>
      </c>
      <c r="K126" s="28">
        <f>(F126-J126)*C126</f>
        <v/>
      </c>
      <c r="L126" s="28">
        <f>E126*Severity</f>
        <v/>
      </c>
      <c r="M126" s="28">
        <f>E126-L126</f>
        <v/>
      </c>
      <c r="N126" s="28">
        <f>J126+K126+M126</f>
        <v/>
      </c>
      <c r="O126" s="28">
        <f>F126-J126-K126</f>
        <v/>
      </c>
      <c r="P126" s="28">
        <f>I126+N126</f>
        <v/>
      </c>
      <c r="Q126" s="36">
        <f>(1+CF_Yield/12)^-A126</f>
        <v/>
      </c>
      <c r="R126" s="28">
        <f>P126*Q126</f>
        <v/>
      </c>
    </row>
    <row r="127">
      <c r="A127" s="26">
        <f>A126+1</f>
        <v/>
      </c>
      <c r="B127" s="28">
        <f>O126</f>
        <v/>
      </c>
      <c r="C127" s="33">
        <f>1-(1-CF_CPR)^(1/12)</f>
        <v/>
      </c>
      <c r="D127" s="33">
        <f>1-(1-CF_CDR)^(1/12)</f>
        <v/>
      </c>
      <c r="E127" s="28">
        <f>B127*D127</f>
        <v/>
      </c>
      <c r="F127" s="28">
        <f>B127-E127</f>
        <v/>
      </c>
      <c r="G127" s="28">
        <f>IF(F127&gt;0.005,PMT(WAC/12,Term-A127+1,-F127),0)</f>
        <v/>
      </c>
      <c r="H127" s="28">
        <f>F127*WAC/12</f>
        <v/>
      </c>
      <c r="I127" s="28">
        <f>F127*(WAC-ServFee)/12</f>
        <v/>
      </c>
      <c r="J127" s="28">
        <f>G127-H127</f>
        <v/>
      </c>
      <c r="K127" s="28">
        <f>(F127-J127)*C127</f>
        <v/>
      </c>
      <c r="L127" s="28">
        <f>E127*Severity</f>
        <v/>
      </c>
      <c r="M127" s="28">
        <f>E127-L127</f>
        <v/>
      </c>
      <c r="N127" s="28">
        <f>J127+K127+M127</f>
        <v/>
      </c>
      <c r="O127" s="28">
        <f>F127-J127-K127</f>
        <v/>
      </c>
      <c r="P127" s="28">
        <f>I127+N127</f>
        <v/>
      </c>
      <c r="Q127" s="36">
        <f>(1+CF_Yield/12)^-A127</f>
        <v/>
      </c>
      <c r="R127" s="28">
        <f>P127*Q127</f>
        <v/>
      </c>
    </row>
    <row r="128">
      <c r="A128" s="26">
        <f>A127+1</f>
        <v/>
      </c>
      <c r="B128" s="28">
        <f>O127</f>
        <v/>
      </c>
      <c r="C128" s="33">
        <f>1-(1-CF_CPR)^(1/12)</f>
        <v/>
      </c>
      <c r="D128" s="33">
        <f>1-(1-CF_CDR)^(1/12)</f>
        <v/>
      </c>
      <c r="E128" s="28">
        <f>B128*D128</f>
        <v/>
      </c>
      <c r="F128" s="28">
        <f>B128-E128</f>
        <v/>
      </c>
      <c r="G128" s="28">
        <f>IF(F128&gt;0.005,PMT(WAC/12,Term-A128+1,-F128),0)</f>
        <v/>
      </c>
      <c r="H128" s="28">
        <f>F128*WAC/12</f>
        <v/>
      </c>
      <c r="I128" s="28">
        <f>F128*(WAC-ServFee)/12</f>
        <v/>
      </c>
      <c r="J128" s="28">
        <f>G128-H128</f>
        <v/>
      </c>
      <c r="K128" s="28">
        <f>(F128-J128)*C128</f>
        <v/>
      </c>
      <c r="L128" s="28">
        <f>E128*Severity</f>
        <v/>
      </c>
      <c r="M128" s="28">
        <f>E128-L128</f>
        <v/>
      </c>
      <c r="N128" s="28">
        <f>J128+K128+M128</f>
        <v/>
      </c>
      <c r="O128" s="28">
        <f>F128-J128-K128</f>
        <v/>
      </c>
      <c r="P128" s="28">
        <f>I128+N128</f>
        <v/>
      </c>
      <c r="Q128" s="36">
        <f>(1+CF_Yield/12)^-A128</f>
        <v/>
      </c>
      <c r="R128" s="28">
        <f>P128*Q128</f>
        <v/>
      </c>
    </row>
    <row r="129">
      <c r="A129" s="26">
        <f>A128+1</f>
        <v/>
      </c>
      <c r="B129" s="28">
        <f>O128</f>
        <v/>
      </c>
      <c r="C129" s="33">
        <f>1-(1-CF_CPR)^(1/12)</f>
        <v/>
      </c>
      <c r="D129" s="33">
        <f>1-(1-CF_CDR)^(1/12)</f>
        <v/>
      </c>
      <c r="E129" s="28">
        <f>B129*D129</f>
        <v/>
      </c>
      <c r="F129" s="28">
        <f>B129-E129</f>
        <v/>
      </c>
      <c r="G129" s="28">
        <f>IF(F129&gt;0.005,PMT(WAC/12,Term-A129+1,-F129),0)</f>
        <v/>
      </c>
      <c r="H129" s="28">
        <f>F129*WAC/12</f>
        <v/>
      </c>
      <c r="I129" s="28">
        <f>F129*(WAC-ServFee)/12</f>
        <v/>
      </c>
      <c r="J129" s="28">
        <f>G129-H129</f>
        <v/>
      </c>
      <c r="K129" s="28">
        <f>(F129-J129)*C129</f>
        <v/>
      </c>
      <c r="L129" s="28">
        <f>E129*Severity</f>
        <v/>
      </c>
      <c r="M129" s="28">
        <f>E129-L129</f>
        <v/>
      </c>
      <c r="N129" s="28">
        <f>J129+K129+M129</f>
        <v/>
      </c>
      <c r="O129" s="28">
        <f>F129-J129-K129</f>
        <v/>
      </c>
      <c r="P129" s="28">
        <f>I129+N129</f>
        <v/>
      </c>
      <c r="Q129" s="36">
        <f>(1+CF_Yield/12)^-A129</f>
        <v/>
      </c>
      <c r="R129" s="28">
        <f>P129*Q129</f>
        <v/>
      </c>
    </row>
    <row r="130">
      <c r="A130" s="26">
        <f>A129+1</f>
        <v/>
      </c>
      <c r="B130" s="28">
        <f>O129</f>
        <v/>
      </c>
      <c r="C130" s="33">
        <f>1-(1-CF_CPR)^(1/12)</f>
        <v/>
      </c>
      <c r="D130" s="33">
        <f>1-(1-CF_CDR)^(1/12)</f>
        <v/>
      </c>
      <c r="E130" s="28">
        <f>B130*D130</f>
        <v/>
      </c>
      <c r="F130" s="28">
        <f>B130-E130</f>
        <v/>
      </c>
      <c r="G130" s="28">
        <f>IF(F130&gt;0.005,PMT(WAC/12,Term-A130+1,-F130),0)</f>
        <v/>
      </c>
      <c r="H130" s="28">
        <f>F130*WAC/12</f>
        <v/>
      </c>
      <c r="I130" s="28">
        <f>F130*(WAC-ServFee)/12</f>
        <v/>
      </c>
      <c r="J130" s="28">
        <f>G130-H130</f>
        <v/>
      </c>
      <c r="K130" s="28">
        <f>(F130-J130)*C130</f>
        <v/>
      </c>
      <c r="L130" s="28">
        <f>E130*Severity</f>
        <v/>
      </c>
      <c r="M130" s="28">
        <f>E130-L130</f>
        <v/>
      </c>
      <c r="N130" s="28">
        <f>J130+K130+M130</f>
        <v/>
      </c>
      <c r="O130" s="28">
        <f>F130-J130-K130</f>
        <v/>
      </c>
      <c r="P130" s="28">
        <f>I130+N130</f>
        <v/>
      </c>
      <c r="Q130" s="36">
        <f>(1+CF_Yield/12)^-A130</f>
        <v/>
      </c>
      <c r="R130" s="28">
        <f>P130*Q130</f>
        <v/>
      </c>
    </row>
    <row r="131">
      <c r="A131" s="26">
        <f>A130+1</f>
        <v/>
      </c>
      <c r="B131" s="28">
        <f>O130</f>
        <v/>
      </c>
      <c r="C131" s="33">
        <f>1-(1-CF_CPR)^(1/12)</f>
        <v/>
      </c>
      <c r="D131" s="33">
        <f>1-(1-CF_CDR)^(1/12)</f>
        <v/>
      </c>
      <c r="E131" s="28">
        <f>B131*D131</f>
        <v/>
      </c>
      <c r="F131" s="28">
        <f>B131-E131</f>
        <v/>
      </c>
      <c r="G131" s="28">
        <f>IF(F131&gt;0.005,PMT(WAC/12,Term-A131+1,-F131),0)</f>
        <v/>
      </c>
      <c r="H131" s="28">
        <f>F131*WAC/12</f>
        <v/>
      </c>
      <c r="I131" s="28">
        <f>F131*(WAC-ServFee)/12</f>
        <v/>
      </c>
      <c r="J131" s="28">
        <f>G131-H131</f>
        <v/>
      </c>
      <c r="K131" s="28">
        <f>(F131-J131)*C131</f>
        <v/>
      </c>
      <c r="L131" s="28">
        <f>E131*Severity</f>
        <v/>
      </c>
      <c r="M131" s="28">
        <f>E131-L131</f>
        <v/>
      </c>
      <c r="N131" s="28">
        <f>J131+K131+M131</f>
        <v/>
      </c>
      <c r="O131" s="28">
        <f>F131-J131-K131</f>
        <v/>
      </c>
      <c r="P131" s="28">
        <f>I131+N131</f>
        <v/>
      </c>
      <c r="Q131" s="36">
        <f>(1+CF_Yield/12)^-A131</f>
        <v/>
      </c>
      <c r="R131" s="28">
        <f>P131*Q131</f>
        <v/>
      </c>
    </row>
    <row r="132">
      <c r="A132" s="26">
        <f>A131+1</f>
        <v/>
      </c>
      <c r="B132" s="28">
        <f>O131</f>
        <v/>
      </c>
      <c r="C132" s="33">
        <f>1-(1-CF_CPR)^(1/12)</f>
        <v/>
      </c>
      <c r="D132" s="33">
        <f>1-(1-CF_CDR)^(1/12)</f>
        <v/>
      </c>
      <c r="E132" s="28">
        <f>B132*D132</f>
        <v/>
      </c>
      <c r="F132" s="28">
        <f>B132-E132</f>
        <v/>
      </c>
      <c r="G132" s="28">
        <f>IF(F132&gt;0.005,PMT(WAC/12,Term-A132+1,-F132),0)</f>
        <v/>
      </c>
      <c r="H132" s="28">
        <f>F132*WAC/12</f>
        <v/>
      </c>
      <c r="I132" s="28">
        <f>F132*(WAC-ServFee)/12</f>
        <v/>
      </c>
      <c r="J132" s="28">
        <f>G132-H132</f>
        <v/>
      </c>
      <c r="K132" s="28">
        <f>(F132-J132)*C132</f>
        <v/>
      </c>
      <c r="L132" s="28">
        <f>E132*Severity</f>
        <v/>
      </c>
      <c r="M132" s="28">
        <f>E132-L132</f>
        <v/>
      </c>
      <c r="N132" s="28">
        <f>J132+K132+M132</f>
        <v/>
      </c>
      <c r="O132" s="28">
        <f>F132-J132-K132</f>
        <v/>
      </c>
      <c r="P132" s="28">
        <f>I132+N132</f>
        <v/>
      </c>
      <c r="Q132" s="36">
        <f>(1+CF_Yield/12)^-A132</f>
        <v/>
      </c>
      <c r="R132" s="28">
        <f>P132*Q132</f>
        <v/>
      </c>
    </row>
    <row r="133">
      <c r="A133" s="26">
        <f>A132+1</f>
        <v/>
      </c>
      <c r="B133" s="28">
        <f>O132</f>
        <v/>
      </c>
      <c r="C133" s="33">
        <f>1-(1-CF_CPR)^(1/12)</f>
        <v/>
      </c>
      <c r="D133" s="33">
        <f>1-(1-CF_CDR)^(1/12)</f>
        <v/>
      </c>
      <c r="E133" s="28">
        <f>B133*D133</f>
        <v/>
      </c>
      <c r="F133" s="28">
        <f>B133-E133</f>
        <v/>
      </c>
      <c r="G133" s="28">
        <f>IF(F133&gt;0.005,PMT(WAC/12,Term-A133+1,-F133),0)</f>
        <v/>
      </c>
      <c r="H133" s="28">
        <f>F133*WAC/12</f>
        <v/>
      </c>
      <c r="I133" s="28">
        <f>F133*(WAC-ServFee)/12</f>
        <v/>
      </c>
      <c r="J133" s="28">
        <f>G133-H133</f>
        <v/>
      </c>
      <c r="K133" s="28">
        <f>(F133-J133)*C133</f>
        <v/>
      </c>
      <c r="L133" s="28">
        <f>E133*Severity</f>
        <v/>
      </c>
      <c r="M133" s="28">
        <f>E133-L133</f>
        <v/>
      </c>
      <c r="N133" s="28">
        <f>J133+K133+M133</f>
        <v/>
      </c>
      <c r="O133" s="28">
        <f>F133-J133-K133</f>
        <v/>
      </c>
      <c r="P133" s="28">
        <f>I133+N133</f>
        <v/>
      </c>
      <c r="Q133" s="36">
        <f>(1+CF_Yield/12)^-A133</f>
        <v/>
      </c>
      <c r="R133" s="28">
        <f>P133*Q133</f>
        <v/>
      </c>
    </row>
    <row r="134">
      <c r="A134" s="26">
        <f>A133+1</f>
        <v/>
      </c>
      <c r="B134" s="28">
        <f>O133</f>
        <v/>
      </c>
      <c r="C134" s="33">
        <f>1-(1-CF_CPR)^(1/12)</f>
        <v/>
      </c>
      <c r="D134" s="33">
        <f>1-(1-CF_CDR)^(1/12)</f>
        <v/>
      </c>
      <c r="E134" s="28">
        <f>B134*D134</f>
        <v/>
      </c>
      <c r="F134" s="28">
        <f>B134-E134</f>
        <v/>
      </c>
      <c r="G134" s="28">
        <f>IF(F134&gt;0.005,PMT(WAC/12,Term-A134+1,-F134),0)</f>
        <v/>
      </c>
      <c r="H134" s="28">
        <f>F134*WAC/12</f>
        <v/>
      </c>
      <c r="I134" s="28">
        <f>F134*(WAC-ServFee)/12</f>
        <v/>
      </c>
      <c r="J134" s="28">
        <f>G134-H134</f>
        <v/>
      </c>
      <c r="K134" s="28">
        <f>(F134-J134)*C134</f>
        <v/>
      </c>
      <c r="L134" s="28">
        <f>E134*Severity</f>
        <v/>
      </c>
      <c r="M134" s="28">
        <f>E134-L134</f>
        <v/>
      </c>
      <c r="N134" s="28">
        <f>J134+K134+M134</f>
        <v/>
      </c>
      <c r="O134" s="28">
        <f>F134-J134-K134</f>
        <v/>
      </c>
      <c r="P134" s="28">
        <f>I134+N134</f>
        <v/>
      </c>
      <c r="Q134" s="36">
        <f>(1+CF_Yield/12)^-A134</f>
        <v/>
      </c>
      <c r="R134" s="28">
        <f>P134*Q134</f>
        <v/>
      </c>
    </row>
    <row r="135">
      <c r="A135" s="26">
        <f>A134+1</f>
        <v/>
      </c>
      <c r="B135" s="28">
        <f>O134</f>
        <v/>
      </c>
      <c r="C135" s="33">
        <f>1-(1-CF_CPR)^(1/12)</f>
        <v/>
      </c>
      <c r="D135" s="33">
        <f>1-(1-CF_CDR)^(1/12)</f>
        <v/>
      </c>
      <c r="E135" s="28">
        <f>B135*D135</f>
        <v/>
      </c>
      <c r="F135" s="28">
        <f>B135-E135</f>
        <v/>
      </c>
      <c r="G135" s="28">
        <f>IF(F135&gt;0.005,PMT(WAC/12,Term-A135+1,-F135),0)</f>
        <v/>
      </c>
      <c r="H135" s="28">
        <f>F135*WAC/12</f>
        <v/>
      </c>
      <c r="I135" s="28">
        <f>F135*(WAC-ServFee)/12</f>
        <v/>
      </c>
      <c r="J135" s="28">
        <f>G135-H135</f>
        <v/>
      </c>
      <c r="K135" s="28">
        <f>(F135-J135)*C135</f>
        <v/>
      </c>
      <c r="L135" s="28">
        <f>E135*Severity</f>
        <v/>
      </c>
      <c r="M135" s="28">
        <f>E135-L135</f>
        <v/>
      </c>
      <c r="N135" s="28">
        <f>J135+K135+M135</f>
        <v/>
      </c>
      <c r="O135" s="28">
        <f>F135-J135-K135</f>
        <v/>
      </c>
      <c r="P135" s="28">
        <f>I135+N135</f>
        <v/>
      </c>
      <c r="Q135" s="36">
        <f>(1+CF_Yield/12)^-A135</f>
        <v/>
      </c>
      <c r="R135" s="28">
        <f>P135*Q135</f>
        <v/>
      </c>
    </row>
    <row r="136">
      <c r="A136" s="26">
        <f>A135+1</f>
        <v/>
      </c>
      <c r="B136" s="28">
        <f>O135</f>
        <v/>
      </c>
      <c r="C136" s="33">
        <f>1-(1-CF_CPR)^(1/12)</f>
        <v/>
      </c>
      <c r="D136" s="33">
        <f>1-(1-CF_CDR)^(1/12)</f>
        <v/>
      </c>
      <c r="E136" s="28">
        <f>B136*D136</f>
        <v/>
      </c>
      <c r="F136" s="28">
        <f>B136-E136</f>
        <v/>
      </c>
      <c r="G136" s="28">
        <f>IF(F136&gt;0.005,PMT(WAC/12,Term-A136+1,-F136),0)</f>
        <v/>
      </c>
      <c r="H136" s="28">
        <f>F136*WAC/12</f>
        <v/>
      </c>
      <c r="I136" s="28">
        <f>F136*(WAC-ServFee)/12</f>
        <v/>
      </c>
      <c r="J136" s="28">
        <f>G136-H136</f>
        <v/>
      </c>
      <c r="K136" s="28">
        <f>(F136-J136)*C136</f>
        <v/>
      </c>
      <c r="L136" s="28">
        <f>E136*Severity</f>
        <v/>
      </c>
      <c r="M136" s="28">
        <f>E136-L136</f>
        <v/>
      </c>
      <c r="N136" s="28">
        <f>J136+K136+M136</f>
        <v/>
      </c>
      <c r="O136" s="28">
        <f>F136-J136-K136</f>
        <v/>
      </c>
      <c r="P136" s="28">
        <f>I136+N136</f>
        <v/>
      </c>
      <c r="Q136" s="36">
        <f>(1+CF_Yield/12)^-A136</f>
        <v/>
      </c>
      <c r="R136" s="28">
        <f>P136*Q136</f>
        <v/>
      </c>
    </row>
    <row r="137">
      <c r="A137" s="26">
        <f>A136+1</f>
        <v/>
      </c>
      <c r="B137" s="28">
        <f>O136</f>
        <v/>
      </c>
      <c r="C137" s="33">
        <f>1-(1-CF_CPR)^(1/12)</f>
        <v/>
      </c>
      <c r="D137" s="33">
        <f>1-(1-CF_CDR)^(1/12)</f>
        <v/>
      </c>
      <c r="E137" s="28">
        <f>B137*D137</f>
        <v/>
      </c>
      <c r="F137" s="28">
        <f>B137-E137</f>
        <v/>
      </c>
      <c r="G137" s="28">
        <f>IF(F137&gt;0.005,PMT(WAC/12,Term-A137+1,-F137),0)</f>
        <v/>
      </c>
      <c r="H137" s="28">
        <f>F137*WAC/12</f>
        <v/>
      </c>
      <c r="I137" s="28">
        <f>F137*(WAC-ServFee)/12</f>
        <v/>
      </c>
      <c r="J137" s="28">
        <f>G137-H137</f>
        <v/>
      </c>
      <c r="K137" s="28">
        <f>(F137-J137)*C137</f>
        <v/>
      </c>
      <c r="L137" s="28">
        <f>E137*Severity</f>
        <v/>
      </c>
      <c r="M137" s="28">
        <f>E137-L137</f>
        <v/>
      </c>
      <c r="N137" s="28">
        <f>J137+K137+M137</f>
        <v/>
      </c>
      <c r="O137" s="28">
        <f>F137-J137-K137</f>
        <v/>
      </c>
      <c r="P137" s="28">
        <f>I137+N137</f>
        <v/>
      </c>
      <c r="Q137" s="36">
        <f>(1+CF_Yield/12)^-A137</f>
        <v/>
      </c>
      <c r="R137" s="28">
        <f>P137*Q137</f>
        <v/>
      </c>
    </row>
    <row r="138">
      <c r="A138" s="26">
        <f>A137+1</f>
        <v/>
      </c>
      <c r="B138" s="28">
        <f>O137</f>
        <v/>
      </c>
      <c r="C138" s="33">
        <f>1-(1-CF_CPR)^(1/12)</f>
        <v/>
      </c>
      <c r="D138" s="33">
        <f>1-(1-CF_CDR)^(1/12)</f>
        <v/>
      </c>
      <c r="E138" s="28">
        <f>B138*D138</f>
        <v/>
      </c>
      <c r="F138" s="28">
        <f>B138-E138</f>
        <v/>
      </c>
      <c r="G138" s="28">
        <f>IF(F138&gt;0.005,PMT(WAC/12,Term-A138+1,-F138),0)</f>
        <v/>
      </c>
      <c r="H138" s="28">
        <f>F138*WAC/12</f>
        <v/>
      </c>
      <c r="I138" s="28">
        <f>F138*(WAC-ServFee)/12</f>
        <v/>
      </c>
      <c r="J138" s="28">
        <f>G138-H138</f>
        <v/>
      </c>
      <c r="K138" s="28">
        <f>(F138-J138)*C138</f>
        <v/>
      </c>
      <c r="L138" s="28">
        <f>E138*Severity</f>
        <v/>
      </c>
      <c r="M138" s="28">
        <f>E138-L138</f>
        <v/>
      </c>
      <c r="N138" s="28">
        <f>J138+K138+M138</f>
        <v/>
      </c>
      <c r="O138" s="28">
        <f>F138-J138-K138</f>
        <v/>
      </c>
      <c r="P138" s="28">
        <f>I138+N138</f>
        <v/>
      </c>
      <c r="Q138" s="36">
        <f>(1+CF_Yield/12)^-A138</f>
        <v/>
      </c>
      <c r="R138" s="28">
        <f>P138*Q138</f>
        <v/>
      </c>
    </row>
    <row r="139">
      <c r="A139" s="26">
        <f>A138+1</f>
        <v/>
      </c>
      <c r="B139" s="28">
        <f>O138</f>
        <v/>
      </c>
      <c r="C139" s="33">
        <f>1-(1-CF_CPR)^(1/12)</f>
        <v/>
      </c>
      <c r="D139" s="33">
        <f>1-(1-CF_CDR)^(1/12)</f>
        <v/>
      </c>
      <c r="E139" s="28">
        <f>B139*D139</f>
        <v/>
      </c>
      <c r="F139" s="28">
        <f>B139-E139</f>
        <v/>
      </c>
      <c r="G139" s="28">
        <f>IF(F139&gt;0.005,PMT(WAC/12,Term-A139+1,-F139),0)</f>
        <v/>
      </c>
      <c r="H139" s="28">
        <f>F139*WAC/12</f>
        <v/>
      </c>
      <c r="I139" s="28">
        <f>F139*(WAC-ServFee)/12</f>
        <v/>
      </c>
      <c r="J139" s="28">
        <f>G139-H139</f>
        <v/>
      </c>
      <c r="K139" s="28">
        <f>(F139-J139)*C139</f>
        <v/>
      </c>
      <c r="L139" s="28">
        <f>E139*Severity</f>
        <v/>
      </c>
      <c r="M139" s="28">
        <f>E139-L139</f>
        <v/>
      </c>
      <c r="N139" s="28">
        <f>J139+K139+M139</f>
        <v/>
      </c>
      <c r="O139" s="28">
        <f>F139-J139-K139</f>
        <v/>
      </c>
      <c r="P139" s="28">
        <f>I139+N139</f>
        <v/>
      </c>
      <c r="Q139" s="36">
        <f>(1+CF_Yield/12)^-A139</f>
        <v/>
      </c>
      <c r="R139" s="28">
        <f>P139*Q139</f>
        <v/>
      </c>
    </row>
    <row r="140">
      <c r="A140" s="26">
        <f>A139+1</f>
        <v/>
      </c>
      <c r="B140" s="28">
        <f>O139</f>
        <v/>
      </c>
      <c r="C140" s="33">
        <f>1-(1-CF_CPR)^(1/12)</f>
        <v/>
      </c>
      <c r="D140" s="33">
        <f>1-(1-CF_CDR)^(1/12)</f>
        <v/>
      </c>
      <c r="E140" s="28">
        <f>B140*D140</f>
        <v/>
      </c>
      <c r="F140" s="28">
        <f>B140-E140</f>
        <v/>
      </c>
      <c r="G140" s="28">
        <f>IF(F140&gt;0.005,PMT(WAC/12,Term-A140+1,-F140),0)</f>
        <v/>
      </c>
      <c r="H140" s="28">
        <f>F140*WAC/12</f>
        <v/>
      </c>
      <c r="I140" s="28">
        <f>F140*(WAC-ServFee)/12</f>
        <v/>
      </c>
      <c r="J140" s="28">
        <f>G140-H140</f>
        <v/>
      </c>
      <c r="K140" s="28">
        <f>(F140-J140)*C140</f>
        <v/>
      </c>
      <c r="L140" s="28">
        <f>E140*Severity</f>
        <v/>
      </c>
      <c r="M140" s="28">
        <f>E140-L140</f>
        <v/>
      </c>
      <c r="N140" s="28">
        <f>J140+K140+M140</f>
        <v/>
      </c>
      <c r="O140" s="28">
        <f>F140-J140-K140</f>
        <v/>
      </c>
      <c r="P140" s="28">
        <f>I140+N140</f>
        <v/>
      </c>
      <c r="Q140" s="36">
        <f>(1+CF_Yield/12)^-A140</f>
        <v/>
      </c>
      <c r="R140" s="28">
        <f>P140*Q140</f>
        <v/>
      </c>
    </row>
    <row r="141">
      <c r="A141" s="26">
        <f>A140+1</f>
        <v/>
      </c>
      <c r="B141" s="28">
        <f>O140</f>
        <v/>
      </c>
      <c r="C141" s="33">
        <f>1-(1-CF_CPR)^(1/12)</f>
        <v/>
      </c>
      <c r="D141" s="33">
        <f>1-(1-CF_CDR)^(1/12)</f>
        <v/>
      </c>
      <c r="E141" s="28">
        <f>B141*D141</f>
        <v/>
      </c>
      <c r="F141" s="28">
        <f>B141-E141</f>
        <v/>
      </c>
      <c r="G141" s="28">
        <f>IF(F141&gt;0.005,PMT(WAC/12,Term-A141+1,-F141),0)</f>
        <v/>
      </c>
      <c r="H141" s="28">
        <f>F141*WAC/12</f>
        <v/>
      </c>
      <c r="I141" s="28">
        <f>F141*(WAC-ServFee)/12</f>
        <v/>
      </c>
      <c r="J141" s="28">
        <f>G141-H141</f>
        <v/>
      </c>
      <c r="K141" s="28">
        <f>(F141-J141)*C141</f>
        <v/>
      </c>
      <c r="L141" s="28">
        <f>E141*Severity</f>
        <v/>
      </c>
      <c r="M141" s="28">
        <f>E141-L141</f>
        <v/>
      </c>
      <c r="N141" s="28">
        <f>J141+K141+M141</f>
        <v/>
      </c>
      <c r="O141" s="28">
        <f>F141-J141-K141</f>
        <v/>
      </c>
      <c r="P141" s="28">
        <f>I141+N141</f>
        <v/>
      </c>
      <c r="Q141" s="36">
        <f>(1+CF_Yield/12)^-A141</f>
        <v/>
      </c>
      <c r="R141" s="28">
        <f>P141*Q141</f>
        <v/>
      </c>
    </row>
    <row r="142">
      <c r="A142" s="26">
        <f>A141+1</f>
        <v/>
      </c>
      <c r="B142" s="28">
        <f>O141</f>
        <v/>
      </c>
      <c r="C142" s="33">
        <f>1-(1-CF_CPR)^(1/12)</f>
        <v/>
      </c>
      <c r="D142" s="33">
        <f>1-(1-CF_CDR)^(1/12)</f>
        <v/>
      </c>
      <c r="E142" s="28">
        <f>B142*D142</f>
        <v/>
      </c>
      <c r="F142" s="28">
        <f>B142-E142</f>
        <v/>
      </c>
      <c r="G142" s="28">
        <f>IF(F142&gt;0.005,PMT(WAC/12,Term-A142+1,-F142),0)</f>
        <v/>
      </c>
      <c r="H142" s="28">
        <f>F142*WAC/12</f>
        <v/>
      </c>
      <c r="I142" s="28">
        <f>F142*(WAC-ServFee)/12</f>
        <v/>
      </c>
      <c r="J142" s="28">
        <f>G142-H142</f>
        <v/>
      </c>
      <c r="K142" s="28">
        <f>(F142-J142)*C142</f>
        <v/>
      </c>
      <c r="L142" s="28">
        <f>E142*Severity</f>
        <v/>
      </c>
      <c r="M142" s="28">
        <f>E142-L142</f>
        <v/>
      </c>
      <c r="N142" s="28">
        <f>J142+K142+M142</f>
        <v/>
      </c>
      <c r="O142" s="28">
        <f>F142-J142-K142</f>
        <v/>
      </c>
      <c r="P142" s="28">
        <f>I142+N142</f>
        <v/>
      </c>
      <c r="Q142" s="36">
        <f>(1+CF_Yield/12)^-A142</f>
        <v/>
      </c>
      <c r="R142" s="28">
        <f>P142*Q142</f>
        <v/>
      </c>
    </row>
    <row r="143">
      <c r="A143" s="26">
        <f>A142+1</f>
        <v/>
      </c>
      <c r="B143" s="28">
        <f>O142</f>
        <v/>
      </c>
      <c r="C143" s="33">
        <f>1-(1-CF_CPR)^(1/12)</f>
        <v/>
      </c>
      <c r="D143" s="33">
        <f>1-(1-CF_CDR)^(1/12)</f>
        <v/>
      </c>
      <c r="E143" s="28">
        <f>B143*D143</f>
        <v/>
      </c>
      <c r="F143" s="28">
        <f>B143-E143</f>
        <v/>
      </c>
      <c r="G143" s="28">
        <f>IF(F143&gt;0.005,PMT(WAC/12,Term-A143+1,-F143),0)</f>
        <v/>
      </c>
      <c r="H143" s="28">
        <f>F143*WAC/12</f>
        <v/>
      </c>
      <c r="I143" s="28">
        <f>F143*(WAC-ServFee)/12</f>
        <v/>
      </c>
      <c r="J143" s="28">
        <f>G143-H143</f>
        <v/>
      </c>
      <c r="K143" s="28">
        <f>(F143-J143)*C143</f>
        <v/>
      </c>
      <c r="L143" s="28">
        <f>E143*Severity</f>
        <v/>
      </c>
      <c r="M143" s="28">
        <f>E143-L143</f>
        <v/>
      </c>
      <c r="N143" s="28">
        <f>J143+K143+M143</f>
        <v/>
      </c>
      <c r="O143" s="28">
        <f>F143-J143-K143</f>
        <v/>
      </c>
      <c r="P143" s="28">
        <f>I143+N143</f>
        <v/>
      </c>
      <c r="Q143" s="36">
        <f>(1+CF_Yield/12)^-A143</f>
        <v/>
      </c>
      <c r="R143" s="28">
        <f>P143*Q143</f>
        <v/>
      </c>
    </row>
    <row r="144">
      <c r="A144" s="26">
        <f>A143+1</f>
        <v/>
      </c>
      <c r="B144" s="28">
        <f>O143</f>
        <v/>
      </c>
      <c r="C144" s="33">
        <f>1-(1-CF_CPR)^(1/12)</f>
        <v/>
      </c>
      <c r="D144" s="33">
        <f>1-(1-CF_CDR)^(1/12)</f>
        <v/>
      </c>
      <c r="E144" s="28">
        <f>B144*D144</f>
        <v/>
      </c>
      <c r="F144" s="28">
        <f>B144-E144</f>
        <v/>
      </c>
      <c r="G144" s="28">
        <f>IF(F144&gt;0.005,PMT(WAC/12,Term-A144+1,-F144),0)</f>
        <v/>
      </c>
      <c r="H144" s="28">
        <f>F144*WAC/12</f>
        <v/>
      </c>
      <c r="I144" s="28">
        <f>F144*(WAC-ServFee)/12</f>
        <v/>
      </c>
      <c r="J144" s="28">
        <f>G144-H144</f>
        <v/>
      </c>
      <c r="K144" s="28">
        <f>(F144-J144)*C144</f>
        <v/>
      </c>
      <c r="L144" s="28">
        <f>E144*Severity</f>
        <v/>
      </c>
      <c r="M144" s="28">
        <f>E144-L144</f>
        <v/>
      </c>
      <c r="N144" s="28">
        <f>J144+K144+M144</f>
        <v/>
      </c>
      <c r="O144" s="28">
        <f>F144-J144-K144</f>
        <v/>
      </c>
      <c r="P144" s="28">
        <f>I144+N144</f>
        <v/>
      </c>
      <c r="Q144" s="36">
        <f>(1+CF_Yield/12)^-A144</f>
        <v/>
      </c>
      <c r="R144" s="28">
        <f>P144*Q144</f>
        <v/>
      </c>
    </row>
    <row r="145">
      <c r="A145" s="26">
        <f>A144+1</f>
        <v/>
      </c>
      <c r="B145" s="28">
        <f>O144</f>
        <v/>
      </c>
      <c r="C145" s="33">
        <f>1-(1-CF_CPR)^(1/12)</f>
        <v/>
      </c>
      <c r="D145" s="33">
        <f>1-(1-CF_CDR)^(1/12)</f>
        <v/>
      </c>
      <c r="E145" s="28">
        <f>B145*D145</f>
        <v/>
      </c>
      <c r="F145" s="28">
        <f>B145-E145</f>
        <v/>
      </c>
      <c r="G145" s="28">
        <f>IF(F145&gt;0.005,PMT(WAC/12,Term-A145+1,-F145),0)</f>
        <v/>
      </c>
      <c r="H145" s="28">
        <f>F145*WAC/12</f>
        <v/>
      </c>
      <c r="I145" s="28">
        <f>F145*(WAC-ServFee)/12</f>
        <v/>
      </c>
      <c r="J145" s="28">
        <f>G145-H145</f>
        <v/>
      </c>
      <c r="K145" s="28">
        <f>(F145-J145)*C145</f>
        <v/>
      </c>
      <c r="L145" s="28">
        <f>E145*Severity</f>
        <v/>
      </c>
      <c r="M145" s="28">
        <f>E145-L145</f>
        <v/>
      </c>
      <c r="N145" s="28">
        <f>J145+K145+M145</f>
        <v/>
      </c>
      <c r="O145" s="28">
        <f>F145-J145-K145</f>
        <v/>
      </c>
      <c r="P145" s="28">
        <f>I145+N145</f>
        <v/>
      </c>
      <c r="Q145" s="36">
        <f>(1+CF_Yield/12)^-A145</f>
        <v/>
      </c>
      <c r="R145" s="28">
        <f>P145*Q145</f>
        <v/>
      </c>
    </row>
    <row r="146">
      <c r="A146" s="26">
        <f>A145+1</f>
        <v/>
      </c>
      <c r="B146" s="28">
        <f>O145</f>
        <v/>
      </c>
      <c r="C146" s="33">
        <f>1-(1-CF_CPR)^(1/12)</f>
        <v/>
      </c>
      <c r="D146" s="33">
        <f>1-(1-CF_CDR)^(1/12)</f>
        <v/>
      </c>
      <c r="E146" s="28">
        <f>B146*D146</f>
        <v/>
      </c>
      <c r="F146" s="28">
        <f>B146-E146</f>
        <v/>
      </c>
      <c r="G146" s="28">
        <f>IF(F146&gt;0.005,PMT(WAC/12,Term-A146+1,-F146),0)</f>
        <v/>
      </c>
      <c r="H146" s="28">
        <f>F146*WAC/12</f>
        <v/>
      </c>
      <c r="I146" s="28">
        <f>F146*(WAC-ServFee)/12</f>
        <v/>
      </c>
      <c r="J146" s="28">
        <f>G146-H146</f>
        <v/>
      </c>
      <c r="K146" s="28">
        <f>(F146-J146)*C146</f>
        <v/>
      </c>
      <c r="L146" s="28">
        <f>E146*Severity</f>
        <v/>
      </c>
      <c r="M146" s="28">
        <f>E146-L146</f>
        <v/>
      </c>
      <c r="N146" s="28">
        <f>J146+K146+M146</f>
        <v/>
      </c>
      <c r="O146" s="28">
        <f>F146-J146-K146</f>
        <v/>
      </c>
      <c r="P146" s="28">
        <f>I146+N146</f>
        <v/>
      </c>
      <c r="Q146" s="36">
        <f>(1+CF_Yield/12)^-A146</f>
        <v/>
      </c>
      <c r="R146" s="28">
        <f>P146*Q146</f>
        <v/>
      </c>
    </row>
    <row r="147">
      <c r="A147" s="26">
        <f>A146+1</f>
        <v/>
      </c>
      <c r="B147" s="28">
        <f>O146</f>
        <v/>
      </c>
      <c r="C147" s="33">
        <f>1-(1-CF_CPR)^(1/12)</f>
        <v/>
      </c>
      <c r="D147" s="33">
        <f>1-(1-CF_CDR)^(1/12)</f>
        <v/>
      </c>
      <c r="E147" s="28">
        <f>B147*D147</f>
        <v/>
      </c>
      <c r="F147" s="28">
        <f>B147-E147</f>
        <v/>
      </c>
      <c r="G147" s="28">
        <f>IF(F147&gt;0.005,PMT(WAC/12,Term-A147+1,-F147),0)</f>
        <v/>
      </c>
      <c r="H147" s="28">
        <f>F147*WAC/12</f>
        <v/>
      </c>
      <c r="I147" s="28">
        <f>F147*(WAC-ServFee)/12</f>
        <v/>
      </c>
      <c r="J147" s="28">
        <f>G147-H147</f>
        <v/>
      </c>
      <c r="K147" s="28">
        <f>(F147-J147)*C147</f>
        <v/>
      </c>
      <c r="L147" s="28">
        <f>E147*Severity</f>
        <v/>
      </c>
      <c r="M147" s="28">
        <f>E147-L147</f>
        <v/>
      </c>
      <c r="N147" s="28">
        <f>J147+K147+M147</f>
        <v/>
      </c>
      <c r="O147" s="28">
        <f>F147-J147-K147</f>
        <v/>
      </c>
      <c r="P147" s="28">
        <f>I147+N147</f>
        <v/>
      </c>
      <c r="Q147" s="36">
        <f>(1+CF_Yield/12)^-A147</f>
        <v/>
      </c>
      <c r="R147" s="28">
        <f>P147*Q147</f>
        <v/>
      </c>
    </row>
    <row r="148">
      <c r="A148" s="26">
        <f>A147+1</f>
        <v/>
      </c>
      <c r="B148" s="28">
        <f>O147</f>
        <v/>
      </c>
      <c r="C148" s="33">
        <f>1-(1-CF_CPR)^(1/12)</f>
        <v/>
      </c>
      <c r="D148" s="33">
        <f>1-(1-CF_CDR)^(1/12)</f>
        <v/>
      </c>
      <c r="E148" s="28">
        <f>B148*D148</f>
        <v/>
      </c>
      <c r="F148" s="28">
        <f>B148-E148</f>
        <v/>
      </c>
      <c r="G148" s="28">
        <f>IF(F148&gt;0.005,PMT(WAC/12,Term-A148+1,-F148),0)</f>
        <v/>
      </c>
      <c r="H148" s="28">
        <f>F148*WAC/12</f>
        <v/>
      </c>
      <c r="I148" s="28">
        <f>F148*(WAC-ServFee)/12</f>
        <v/>
      </c>
      <c r="J148" s="28">
        <f>G148-H148</f>
        <v/>
      </c>
      <c r="K148" s="28">
        <f>(F148-J148)*C148</f>
        <v/>
      </c>
      <c r="L148" s="28">
        <f>E148*Severity</f>
        <v/>
      </c>
      <c r="M148" s="28">
        <f>E148-L148</f>
        <v/>
      </c>
      <c r="N148" s="28">
        <f>J148+K148+M148</f>
        <v/>
      </c>
      <c r="O148" s="28">
        <f>F148-J148-K148</f>
        <v/>
      </c>
      <c r="P148" s="28">
        <f>I148+N148</f>
        <v/>
      </c>
      <c r="Q148" s="36">
        <f>(1+CF_Yield/12)^-A148</f>
        <v/>
      </c>
      <c r="R148" s="28">
        <f>P148*Q148</f>
        <v/>
      </c>
    </row>
    <row r="149">
      <c r="A149" s="26">
        <f>A148+1</f>
        <v/>
      </c>
      <c r="B149" s="28">
        <f>O148</f>
        <v/>
      </c>
      <c r="C149" s="33">
        <f>1-(1-CF_CPR)^(1/12)</f>
        <v/>
      </c>
      <c r="D149" s="33">
        <f>1-(1-CF_CDR)^(1/12)</f>
        <v/>
      </c>
      <c r="E149" s="28">
        <f>B149*D149</f>
        <v/>
      </c>
      <c r="F149" s="28">
        <f>B149-E149</f>
        <v/>
      </c>
      <c r="G149" s="28">
        <f>IF(F149&gt;0.005,PMT(WAC/12,Term-A149+1,-F149),0)</f>
        <v/>
      </c>
      <c r="H149" s="28">
        <f>F149*WAC/12</f>
        <v/>
      </c>
      <c r="I149" s="28">
        <f>F149*(WAC-ServFee)/12</f>
        <v/>
      </c>
      <c r="J149" s="28">
        <f>G149-H149</f>
        <v/>
      </c>
      <c r="K149" s="28">
        <f>(F149-J149)*C149</f>
        <v/>
      </c>
      <c r="L149" s="28">
        <f>E149*Severity</f>
        <v/>
      </c>
      <c r="M149" s="28">
        <f>E149-L149</f>
        <v/>
      </c>
      <c r="N149" s="28">
        <f>J149+K149+M149</f>
        <v/>
      </c>
      <c r="O149" s="28">
        <f>F149-J149-K149</f>
        <v/>
      </c>
      <c r="P149" s="28">
        <f>I149+N149</f>
        <v/>
      </c>
      <c r="Q149" s="36">
        <f>(1+CF_Yield/12)^-A149</f>
        <v/>
      </c>
      <c r="R149" s="28">
        <f>P149*Q149</f>
        <v/>
      </c>
    </row>
    <row r="150">
      <c r="A150" s="26">
        <f>A149+1</f>
        <v/>
      </c>
      <c r="B150" s="28">
        <f>O149</f>
        <v/>
      </c>
      <c r="C150" s="33">
        <f>1-(1-CF_CPR)^(1/12)</f>
        <v/>
      </c>
      <c r="D150" s="33">
        <f>1-(1-CF_CDR)^(1/12)</f>
        <v/>
      </c>
      <c r="E150" s="28">
        <f>B150*D150</f>
        <v/>
      </c>
      <c r="F150" s="28">
        <f>B150-E150</f>
        <v/>
      </c>
      <c r="G150" s="28">
        <f>IF(F150&gt;0.005,PMT(WAC/12,Term-A150+1,-F150),0)</f>
        <v/>
      </c>
      <c r="H150" s="28">
        <f>F150*WAC/12</f>
        <v/>
      </c>
      <c r="I150" s="28">
        <f>F150*(WAC-ServFee)/12</f>
        <v/>
      </c>
      <c r="J150" s="28">
        <f>G150-H150</f>
        <v/>
      </c>
      <c r="K150" s="28">
        <f>(F150-J150)*C150</f>
        <v/>
      </c>
      <c r="L150" s="28">
        <f>E150*Severity</f>
        <v/>
      </c>
      <c r="M150" s="28">
        <f>E150-L150</f>
        <v/>
      </c>
      <c r="N150" s="28">
        <f>J150+K150+M150</f>
        <v/>
      </c>
      <c r="O150" s="28">
        <f>F150-J150-K150</f>
        <v/>
      </c>
      <c r="P150" s="28">
        <f>I150+N150</f>
        <v/>
      </c>
      <c r="Q150" s="36">
        <f>(1+CF_Yield/12)^-A150</f>
        <v/>
      </c>
      <c r="R150" s="28">
        <f>P150*Q150</f>
        <v/>
      </c>
    </row>
    <row r="151">
      <c r="A151" s="26">
        <f>A150+1</f>
        <v/>
      </c>
      <c r="B151" s="28">
        <f>O150</f>
        <v/>
      </c>
      <c r="C151" s="33">
        <f>1-(1-CF_CPR)^(1/12)</f>
        <v/>
      </c>
      <c r="D151" s="33">
        <f>1-(1-CF_CDR)^(1/12)</f>
        <v/>
      </c>
      <c r="E151" s="28">
        <f>B151*D151</f>
        <v/>
      </c>
      <c r="F151" s="28">
        <f>B151-E151</f>
        <v/>
      </c>
      <c r="G151" s="28">
        <f>IF(F151&gt;0.005,PMT(WAC/12,Term-A151+1,-F151),0)</f>
        <v/>
      </c>
      <c r="H151" s="28">
        <f>F151*WAC/12</f>
        <v/>
      </c>
      <c r="I151" s="28">
        <f>F151*(WAC-ServFee)/12</f>
        <v/>
      </c>
      <c r="J151" s="28">
        <f>G151-H151</f>
        <v/>
      </c>
      <c r="K151" s="28">
        <f>(F151-J151)*C151</f>
        <v/>
      </c>
      <c r="L151" s="28">
        <f>E151*Severity</f>
        <v/>
      </c>
      <c r="M151" s="28">
        <f>E151-L151</f>
        <v/>
      </c>
      <c r="N151" s="28">
        <f>J151+K151+M151</f>
        <v/>
      </c>
      <c r="O151" s="28">
        <f>F151-J151-K151</f>
        <v/>
      </c>
      <c r="P151" s="28">
        <f>I151+N151</f>
        <v/>
      </c>
      <c r="Q151" s="36">
        <f>(1+CF_Yield/12)^-A151</f>
        <v/>
      </c>
      <c r="R151" s="28">
        <f>P151*Q151</f>
        <v/>
      </c>
    </row>
    <row r="152">
      <c r="A152" s="26">
        <f>A151+1</f>
        <v/>
      </c>
      <c r="B152" s="28">
        <f>O151</f>
        <v/>
      </c>
      <c r="C152" s="33">
        <f>1-(1-CF_CPR)^(1/12)</f>
        <v/>
      </c>
      <c r="D152" s="33">
        <f>1-(1-CF_CDR)^(1/12)</f>
        <v/>
      </c>
      <c r="E152" s="28">
        <f>B152*D152</f>
        <v/>
      </c>
      <c r="F152" s="28">
        <f>B152-E152</f>
        <v/>
      </c>
      <c r="G152" s="28">
        <f>IF(F152&gt;0.005,PMT(WAC/12,Term-A152+1,-F152),0)</f>
        <v/>
      </c>
      <c r="H152" s="28">
        <f>F152*WAC/12</f>
        <v/>
      </c>
      <c r="I152" s="28">
        <f>F152*(WAC-ServFee)/12</f>
        <v/>
      </c>
      <c r="J152" s="28">
        <f>G152-H152</f>
        <v/>
      </c>
      <c r="K152" s="28">
        <f>(F152-J152)*C152</f>
        <v/>
      </c>
      <c r="L152" s="28">
        <f>E152*Severity</f>
        <v/>
      </c>
      <c r="M152" s="28">
        <f>E152-L152</f>
        <v/>
      </c>
      <c r="N152" s="28">
        <f>J152+K152+M152</f>
        <v/>
      </c>
      <c r="O152" s="28">
        <f>F152-J152-K152</f>
        <v/>
      </c>
      <c r="P152" s="28">
        <f>I152+N152</f>
        <v/>
      </c>
      <c r="Q152" s="36">
        <f>(1+CF_Yield/12)^-A152</f>
        <v/>
      </c>
      <c r="R152" s="28">
        <f>P152*Q152</f>
        <v/>
      </c>
    </row>
    <row r="153">
      <c r="A153" s="26">
        <f>A152+1</f>
        <v/>
      </c>
      <c r="B153" s="28">
        <f>O152</f>
        <v/>
      </c>
      <c r="C153" s="33">
        <f>1-(1-CF_CPR)^(1/12)</f>
        <v/>
      </c>
      <c r="D153" s="33">
        <f>1-(1-CF_CDR)^(1/12)</f>
        <v/>
      </c>
      <c r="E153" s="28">
        <f>B153*D153</f>
        <v/>
      </c>
      <c r="F153" s="28">
        <f>B153-E153</f>
        <v/>
      </c>
      <c r="G153" s="28">
        <f>IF(F153&gt;0.005,PMT(WAC/12,Term-A153+1,-F153),0)</f>
        <v/>
      </c>
      <c r="H153" s="28">
        <f>F153*WAC/12</f>
        <v/>
      </c>
      <c r="I153" s="28">
        <f>F153*(WAC-ServFee)/12</f>
        <v/>
      </c>
      <c r="J153" s="28">
        <f>G153-H153</f>
        <v/>
      </c>
      <c r="K153" s="28">
        <f>(F153-J153)*C153</f>
        <v/>
      </c>
      <c r="L153" s="28">
        <f>E153*Severity</f>
        <v/>
      </c>
      <c r="M153" s="28">
        <f>E153-L153</f>
        <v/>
      </c>
      <c r="N153" s="28">
        <f>J153+K153+M153</f>
        <v/>
      </c>
      <c r="O153" s="28">
        <f>F153-J153-K153</f>
        <v/>
      </c>
      <c r="P153" s="28">
        <f>I153+N153</f>
        <v/>
      </c>
      <c r="Q153" s="36">
        <f>(1+CF_Yield/12)^-A153</f>
        <v/>
      </c>
      <c r="R153" s="28">
        <f>P153*Q153</f>
        <v/>
      </c>
    </row>
    <row r="154">
      <c r="A154" s="26">
        <f>A153+1</f>
        <v/>
      </c>
      <c r="B154" s="28">
        <f>O153</f>
        <v/>
      </c>
      <c r="C154" s="33">
        <f>1-(1-CF_CPR)^(1/12)</f>
        <v/>
      </c>
      <c r="D154" s="33">
        <f>1-(1-CF_CDR)^(1/12)</f>
        <v/>
      </c>
      <c r="E154" s="28">
        <f>B154*D154</f>
        <v/>
      </c>
      <c r="F154" s="28">
        <f>B154-E154</f>
        <v/>
      </c>
      <c r="G154" s="28">
        <f>IF(F154&gt;0.005,PMT(WAC/12,Term-A154+1,-F154),0)</f>
        <v/>
      </c>
      <c r="H154" s="28">
        <f>F154*WAC/12</f>
        <v/>
      </c>
      <c r="I154" s="28">
        <f>F154*(WAC-ServFee)/12</f>
        <v/>
      </c>
      <c r="J154" s="28">
        <f>G154-H154</f>
        <v/>
      </c>
      <c r="K154" s="28">
        <f>(F154-J154)*C154</f>
        <v/>
      </c>
      <c r="L154" s="28">
        <f>E154*Severity</f>
        <v/>
      </c>
      <c r="M154" s="28">
        <f>E154-L154</f>
        <v/>
      </c>
      <c r="N154" s="28">
        <f>J154+K154+M154</f>
        <v/>
      </c>
      <c r="O154" s="28">
        <f>F154-J154-K154</f>
        <v/>
      </c>
      <c r="P154" s="28">
        <f>I154+N154</f>
        <v/>
      </c>
      <c r="Q154" s="36">
        <f>(1+CF_Yield/12)^-A154</f>
        <v/>
      </c>
      <c r="R154" s="28">
        <f>P154*Q154</f>
        <v/>
      </c>
    </row>
    <row r="155">
      <c r="A155" s="26">
        <f>A154+1</f>
        <v/>
      </c>
      <c r="B155" s="28">
        <f>O154</f>
        <v/>
      </c>
      <c r="C155" s="33">
        <f>1-(1-CF_CPR)^(1/12)</f>
        <v/>
      </c>
      <c r="D155" s="33">
        <f>1-(1-CF_CDR)^(1/12)</f>
        <v/>
      </c>
      <c r="E155" s="28">
        <f>B155*D155</f>
        <v/>
      </c>
      <c r="F155" s="28">
        <f>B155-E155</f>
        <v/>
      </c>
      <c r="G155" s="28">
        <f>IF(F155&gt;0.005,PMT(WAC/12,Term-A155+1,-F155),0)</f>
        <v/>
      </c>
      <c r="H155" s="28">
        <f>F155*WAC/12</f>
        <v/>
      </c>
      <c r="I155" s="28">
        <f>F155*(WAC-ServFee)/12</f>
        <v/>
      </c>
      <c r="J155" s="28">
        <f>G155-H155</f>
        <v/>
      </c>
      <c r="K155" s="28">
        <f>(F155-J155)*C155</f>
        <v/>
      </c>
      <c r="L155" s="28">
        <f>E155*Severity</f>
        <v/>
      </c>
      <c r="M155" s="28">
        <f>E155-L155</f>
        <v/>
      </c>
      <c r="N155" s="28">
        <f>J155+K155+M155</f>
        <v/>
      </c>
      <c r="O155" s="28">
        <f>F155-J155-K155</f>
        <v/>
      </c>
      <c r="P155" s="28">
        <f>I155+N155</f>
        <v/>
      </c>
      <c r="Q155" s="36">
        <f>(1+CF_Yield/12)^-A155</f>
        <v/>
      </c>
      <c r="R155" s="28">
        <f>P155*Q155</f>
        <v/>
      </c>
    </row>
    <row r="156">
      <c r="A156" s="26">
        <f>A155+1</f>
        <v/>
      </c>
      <c r="B156" s="28">
        <f>O155</f>
        <v/>
      </c>
      <c r="C156" s="33">
        <f>1-(1-CF_CPR)^(1/12)</f>
        <v/>
      </c>
      <c r="D156" s="33">
        <f>1-(1-CF_CDR)^(1/12)</f>
        <v/>
      </c>
      <c r="E156" s="28">
        <f>B156*D156</f>
        <v/>
      </c>
      <c r="F156" s="28">
        <f>B156-E156</f>
        <v/>
      </c>
      <c r="G156" s="28">
        <f>IF(F156&gt;0.005,PMT(WAC/12,Term-A156+1,-F156),0)</f>
        <v/>
      </c>
      <c r="H156" s="28">
        <f>F156*WAC/12</f>
        <v/>
      </c>
      <c r="I156" s="28">
        <f>F156*(WAC-ServFee)/12</f>
        <v/>
      </c>
      <c r="J156" s="28">
        <f>G156-H156</f>
        <v/>
      </c>
      <c r="K156" s="28">
        <f>(F156-J156)*C156</f>
        <v/>
      </c>
      <c r="L156" s="28">
        <f>E156*Severity</f>
        <v/>
      </c>
      <c r="M156" s="28">
        <f>E156-L156</f>
        <v/>
      </c>
      <c r="N156" s="28">
        <f>J156+K156+M156</f>
        <v/>
      </c>
      <c r="O156" s="28">
        <f>F156-J156-K156</f>
        <v/>
      </c>
      <c r="P156" s="28">
        <f>I156+N156</f>
        <v/>
      </c>
      <c r="Q156" s="36">
        <f>(1+CF_Yield/12)^-A156</f>
        <v/>
      </c>
      <c r="R156" s="28">
        <f>P156*Q156</f>
        <v/>
      </c>
    </row>
    <row r="157">
      <c r="A157" s="26">
        <f>A156+1</f>
        <v/>
      </c>
      <c r="B157" s="28">
        <f>O156</f>
        <v/>
      </c>
      <c r="C157" s="33">
        <f>1-(1-CF_CPR)^(1/12)</f>
        <v/>
      </c>
      <c r="D157" s="33">
        <f>1-(1-CF_CDR)^(1/12)</f>
        <v/>
      </c>
      <c r="E157" s="28">
        <f>B157*D157</f>
        <v/>
      </c>
      <c r="F157" s="28">
        <f>B157-E157</f>
        <v/>
      </c>
      <c r="G157" s="28">
        <f>IF(F157&gt;0.005,PMT(WAC/12,Term-A157+1,-F157),0)</f>
        <v/>
      </c>
      <c r="H157" s="28">
        <f>F157*WAC/12</f>
        <v/>
      </c>
      <c r="I157" s="28">
        <f>F157*(WAC-ServFee)/12</f>
        <v/>
      </c>
      <c r="J157" s="28">
        <f>G157-H157</f>
        <v/>
      </c>
      <c r="K157" s="28">
        <f>(F157-J157)*C157</f>
        <v/>
      </c>
      <c r="L157" s="28">
        <f>E157*Severity</f>
        <v/>
      </c>
      <c r="M157" s="28">
        <f>E157-L157</f>
        <v/>
      </c>
      <c r="N157" s="28">
        <f>J157+K157+M157</f>
        <v/>
      </c>
      <c r="O157" s="28">
        <f>F157-J157-K157</f>
        <v/>
      </c>
      <c r="P157" s="28">
        <f>I157+N157</f>
        <v/>
      </c>
      <c r="Q157" s="36">
        <f>(1+CF_Yield/12)^-A157</f>
        <v/>
      </c>
      <c r="R157" s="28">
        <f>P157*Q157</f>
        <v/>
      </c>
    </row>
    <row r="158">
      <c r="A158" s="26">
        <f>A157+1</f>
        <v/>
      </c>
      <c r="B158" s="28">
        <f>O157</f>
        <v/>
      </c>
      <c r="C158" s="33">
        <f>1-(1-CF_CPR)^(1/12)</f>
        <v/>
      </c>
      <c r="D158" s="33">
        <f>1-(1-CF_CDR)^(1/12)</f>
        <v/>
      </c>
      <c r="E158" s="28">
        <f>B158*D158</f>
        <v/>
      </c>
      <c r="F158" s="28">
        <f>B158-E158</f>
        <v/>
      </c>
      <c r="G158" s="28">
        <f>IF(F158&gt;0.005,PMT(WAC/12,Term-A158+1,-F158),0)</f>
        <v/>
      </c>
      <c r="H158" s="28">
        <f>F158*WAC/12</f>
        <v/>
      </c>
      <c r="I158" s="28">
        <f>F158*(WAC-ServFee)/12</f>
        <v/>
      </c>
      <c r="J158" s="28">
        <f>G158-H158</f>
        <v/>
      </c>
      <c r="K158" s="28">
        <f>(F158-J158)*C158</f>
        <v/>
      </c>
      <c r="L158" s="28">
        <f>E158*Severity</f>
        <v/>
      </c>
      <c r="M158" s="28">
        <f>E158-L158</f>
        <v/>
      </c>
      <c r="N158" s="28">
        <f>J158+K158+M158</f>
        <v/>
      </c>
      <c r="O158" s="28">
        <f>F158-J158-K158</f>
        <v/>
      </c>
      <c r="P158" s="28">
        <f>I158+N158</f>
        <v/>
      </c>
      <c r="Q158" s="36">
        <f>(1+CF_Yield/12)^-A158</f>
        <v/>
      </c>
      <c r="R158" s="28">
        <f>P158*Q158</f>
        <v/>
      </c>
    </row>
    <row r="159">
      <c r="A159" s="26">
        <f>A158+1</f>
        <v/>
      </c>
      <c r="B159" s="28">
        <f>O158</f>
        <v/>
      </c>
      <c r="C159" s="33">
        <f>1-(1-CF_CPR)^(1/12)</f>
        <v/>
      </c>
      <c r="D159" s="33">
        <f>1-(1-CF_CDR)^(1/12)</f>
        <v/>
      </c>
      <c r="E159" s="28">
        <f>B159*D159</f>
        <v/>
      </c>
      <c r="F159" s="28">
        <f>B159-E159</f>
        <v/>
      </c>
      <c r="G159" s="28">
        <f>IF(F159&gt;0.005,PMT(WAC/12,Term-A159+1,-F159),0)</f>
        <v/>
      </c>
      <c r="H159" s="28">
        <f>F159*WAC/12</f>
        <v/>
      </c>
      <c r="I159" s="28">
        <f>F159*(WAC-ServFee)/12</f>
        <v/>
      </c>
      <c r="J159" s="28">
        <f>G159-H159</f>
        <v/>
      </c>
      <c r="K159" s="28">
        <f>(F159-J159)*C159</f>
        <v/>
      </c>
      <c r="L159" s="28">
        <f>E159*Severity</f>
        <v/>
      </c>
      <c r="M159" s="28">
        <f>E159-L159</f>
        <v/>
      </c>
      <c r="N159" s="28">
        <f>J159+K159+M159</f>
        <v/>
      </c>
      <c r="O159" s="28">
        <f>F159-J159-K159</f>
        <v/>
      </c>
      <c r="P159" s="28">
        <f>I159+N159</f>
        <v/>
      </c>
      <c r="Q159" s="36">
        <f>(1+CF_Yield/12)^-A159</f>
        <v/>
      </c>
      <c r="R159" s="28">
        <f>P159*Q159</f>
        <v/>
      </c>
    </row>
    <row r="160">
      <c r="A160" s="26">
        <f>A159+1</f>
        <v/>
      </c>
      <c r="B160" s="28">
        <f>O159</f>
        <v/>
      </c>
      <c r="C160" s="33">
        <f>1-(1-CF_CPR)^(1/12)</f>
        <v/>
      </c>
      <c r="D160" s="33">
        <f>1-(1-CF_CDR)^(1/12)</f>
        <v/>
      </c>
      <c r="E160" s="28">
        <f>B160*D160</f>
        <v/>
      </c>
      <c r="F160" s="28">
        <f>B160-E160</f>
        <v/>
      </c>
      <c r="G160" s="28">
        <f>IF(F160&gt;0.005,PMT(WAC/12,Term-A160+1,-F160),0)</f>
        <v/>
      </c>
      <c r="H160" s="28">
        <f>F160*WAC/12</f>
        <v/>
      </c>
      <c r="I160" s="28">
        <f>F160*(WAC-ServFee)/12</f>
        <v/>
      </c>
      <c r="J160" s="28">
        <f>G160-H160</f>
        <v/>
      </c>
      <c r="K160" s="28">
        <f>(F160-J160)*C160</f>
        <v/>
      </c>
      <c r="L160" s="28">
        <f>E160*Severity</f>
        <v/>
      </c>
      <c r="M160" s="28">
        <f>E160-L160</f>
        <v/>
      </c>
      <c r="N160" s="28">
        <f>J160+K160+M160</f>
        <v/>
      </c>
      <c r="O160" s="28">
        <f>F160-J160-K160</f>
        <v/>
      </c>
      <c r="P160" s="28">
        <f>I160+N160</f>
        <v/>
      </c>
      <c r="Q160" s="36">
        <f>(1+CF_Yield/12)^-A160</f>
        <v/>
      </c>
      <c r="R160" s="28">
        <f>P160*Q160</f>
        <v/>
      </c>
    </row>
    <row r="161">
      <c r="A161" s="26">
        <f>A160+1</f>
        <v/>
      </c>
      <c r="B161" s="28">
        <f>O160</f>
        <v/>
      </c>
      <c r="C161" s="33">
        <f>1-(1-CF_CPR)^(1/12)</f>
        <v/>
      </c>
      <c r="D161" s="33">
        <f>1-(1-CF_CDR)^(1/12)</f>
        <v/>
      </c>
      <c r="E161" s="28">
        <f>B161*D161</f>
        <v/>
      </c>
      <c r="F161" s="28">
        <f>B161-E161</f>
        <v/>
      </c>
      <c r="G161" s="28">
        <f>IF(F161&gt;0.005,PMT(WAC/12,Term-A161+1,-F161),0)</f>
        <v/>
      </c>
      <c r="H161" s="28">
        <f>F161*WAC/12</f>
        <v/>
      </c>
      <c r="I161" s="28">
        <f>F161*(WAC-ServFee)/12</f>
        <v/>
      </c>
      <c r="J161" s="28">
        <f>G161-H161</f>
        <v/>
      </c>
      <c r="K161" s="28">
        <f>(F161-J161)*C161</f>
        <v/>
      </c>
      <c r="L161" s="28">
        <f>E161*Severity</f>
        <v/>
      </c>
      <c r="M161" s="28">
        <f>E161-L161</f>
        <v/>
      </c>
      <c r="N161" s="28">
        <f>J161+K161+M161</f>
        <v/>
      </c>
      <c r="O161" s="28">
        <f>F161-J161-K161</f>
        <v/>
      </c>
      <c r="P161" s="28">
        <f>I161+N161</f>
        <v/>
      </c>
      <c r="Q161" s="36">
        <f>(1+CF_Yield/12)^-A161</f>
        <v/>
      </c>
      <c r="R161" s="28">
        <f>P161*Q161</f>
        <v/>
      </c>
    </row>
    <row r="162">
      <c r="A162" s="26">
        <f>A161+1</f>
        <v/>
      </c>
      <c r="B162" s="28">
        <f>O161</f>
        <v/>
      </c>
      <c r="C162" s="33">
        <f>1-(1-CF_CPR)^(1/12)</f>
        <v/>
      </c>
      <c r="D162" s="33">
        <f>1-(1-CF_CDR)^(1/12)</f>
        <v/>
      </c>
      <c r="E162" s="28">
        <f>B162*D162</f>
        <v/>
      </c>
      <c r="F162" s="28">
        <f>B162-E162</f>
        <v/>
      </c>
      <c r="G162" s="28">
        <f>IF(F162&gt;0.005,PMT(WAC/12,Term-A162+1,-F162),0)</f>
        <v/>
      </c>
      <c r="H162" s="28">
        <f>F162*WAC/12</f>
        <v/>
      </c>
      <c r="I162" s="28">
        <f>F162*(WAC-ServFee)/12</f>
        <v/>
      </c>
      <c r="J162" s="28">
        <f>G162-H162</f>
        <v/>
      </c>
      <c r="K162" s="28">
        <f>(F162-J162)*C162</f>
        <v/>
      </c>
      <c r="L162" s="28">
        <f>E162*Severity</f>
        <v/>
      </c>
      <c r="M162" s="28">
        <f>E162-L162</f>
        <v/>
      </c>
      <c r="N162" s="28">
        <f>J162+K162+M162</f>
        <v/>
      </c>
      <c r="O162" s="28">
        <f>F162-J162-K162</f>
        <v/>
      </c>
      <c r="P162" s="28">
        <f>I162+N162</f>
        <v/>
      </c>
      <c r="Q162" s="36">
        <f>(1+CF_Yield/12)^-A162</f>
        <v/>
      </c>
      <c r="R162" s="28">
        <f>P162*Q162</f>
        <v/>
      </c>
    </row>
    <row r="163">
      <c r="A163" s="26">
        <f>A162+1</f>
        <v/>
      </c>
      <c r="B163" s="28">
        <f>O162</f>
        <v/>
      </c>
      <c r="C163" s="33">
        <f>1-(1-CF_CPR)^(1/12)</f>
        <v/>
      </c>
      <c r="D163" s="33">
        <f>1-(1-CF_CDR)^(1/12)</f>
        <v/>
      </c>
      <c r="E163" s="28">
        <f>B163*D163</f>
        <v/>
      </c>
      <c r="F163" s="28">
        <f>B163-E163</f>
        <v/>
      </c>
      <c r="G163" s="28">
        <f>IF(F163&gt;0.005,PMT(WAC/12,Term-A163+1,-F163),0)</f>
        <v/>
      </c>
      <c r="H163" s="28">
        <f>F163*WAC/12</f>
        <v/>
      </c>
      <c r="I163" s="28">
        <f>F163*(WAC-ServFee)/12</f>
        <v/>
      </c>
      <c r="J163" s="28">
        <f>G163-H163</f>
        <v/>
      </c>
      <c r="K163" s="28">
        <f>(F163-J163)*C163</f>
        <v/>
      </c>
      <c r="L163" s="28">
        <f>E163*Severity</f>
        <v/>
      </c>
      <c r="M163" s="28">
        <f>E163-L163</f>
        <v/>
      </c>
      <c r="N163" s="28">
        <f>J163+K163+M163</f>
        <v/>
      </c>
      <c r="O163" s="28">
        <f>F163-J163-K163</f>
        <v/>
      </c>
      <c r="P163" s="28">
        <f>I163+N163</f>
        <v/>
      </c>
      <c r="Q163" s="36">
        <f>(1+CF_Yield/12)^-A163</f>
        <v/>
      </c>
      <c r="R163" s="28">
        <f>P163*Q163</f>
        <v/>
      </c>
    </row>
    <row r="164">
      <c r="A164" s="26">
        <f>A163+1</f>
        <v/>
      </c>
      <c r="B164" s="28">
        <f>O163</f>
        <v/>
      </c>
      <c r="C164" s="33">
        <f>1-(1-CF_CPR)^(1/12)</f>
        <v/>
      </c>
      <c r="D164" s="33">
        <f>1-(1-CF_CDR)^(1/12)</f>
        <v/>
      </c>
      <c r="E164" s="28">
        <f>B164*D164</f>
        <v/>
      </c>
      <c r="F164" s="28">
        <f>B164-E164</f>
        <v/>
      </c>
      <c r="G164" s="28">
        <f>IF(F164&gt;0.005,PMT(WAC/12,Term-A164+1,-F164),0)</f>
        <v/>
      </c>
      <c r="H164" s="28">
        <f>F164*WAC/12</f>
        <v/>
      </c>
      <c r="I164" s="28">
        <f>F164*(WAC-ServFee)/12</f>
        <v/>
      </c>
      <c r="J164" s="28">
        <f>G164-H164</f>
        <v/>
      </c>
      <c r="K164" s="28">
        <f>(F164-J164)*C164</f>
        <v/>
      </c>
      <c r="L164" s="28">
        <f>E164*Severity</f>
        <v/>
      </c>
      <c r="M164" s="28">
        <f>E164-L164</f>
        <v/>
      </c>
      <c r="N164" s="28">
        <f>J164+K164+M164</f>
        <v/>
      </c>
      <c r="O164" s="28">
        <f>F164-J164-K164</f>
        <v/>
      </c>
      <c r="P164" s="28">
        <f>I164+N164</f>
        <v/>
      </c>
      <c r="Q164" s="36">
        <f>(1+CF_Yield/12)^-A164</f>
        <v/>
      </c>
      <c r="R164" s="28">
        <f>P164*Q164</f>
        <v/>
      </c>
    </row>
    <row r="165">
      <c r="A165" s="26">
        <f>A164+1</f>
        <v/>
      </c>
      <c r="B165" s="28">
        <f>O164</f>
        <v/>
      </c>
      <c r="C165" s="33">
        <f>1-(1-CF_CPR)^(1/12)</f>
        <v/>
      </c>
      <c r="D165" s="33">
        <f>1-(1-CF_CDR)^(1/12)</f>
        <v/>
      </c>
      <c r="E165" s="28">
        <f>B165*D165</f>
        <v/>
      </c>
      <c r="F165" s="28">
        <f>B165-E165</f>
        <v/>
      </c>
      <c r="G165" s="28">
        <f>IF(F165&gt;0.005,PMT(WAC/12,Term-A165+1,-F165),0)</f>
        <v/>
      </c>
      <c r="H165" s="28">
        <f>F165*WAC/12</f>
        <v/>
      </c>
      <c r="I165" s="28">
        <f>F165*(WAC-ServFee)/12</f>
        <v/>
      </c>
      <c r="J165" s="28">
        <f>G165-H165</f>
        <v/>
      </c>
      <c r="K165" s="28">
        <f>(F165-J165)*C165</f>
        <v/>
      </c>
      <c r="L165" s="28">
        <f>E165*Severity</f>
        <v/>
      </c>
      <c r="M165" s="28">
        <f>E165-L165</f>
        <v/>
      </c>
      <c r="N165" s="28">
        <f>J165+K165+M165</f>
        <v/>
      </c>
      <c r="O165" s="28">
        <f>F165-J165-K165</f>
        <v/>
      </c>
      <c r="P165" s="28">
        <f>I165+N165</f>
        <v/>
      </c>
      <c r="Q165" s="36">
        <f>(1+CF_Yield/12)^-A165</f>
        <v/>
      </c>
      <c r="R165" s="28">
        <f>P165*Q165</f>
        <v/>
      </c>
    </row>
    <row r="166">
      <c r="A166" s="26">
        <f>A165+1</f>
        <v/>
      </c>
      <c r="B166" s="28">
        <f>O165</f>
        <v/>
      </c>
      <c r="C166" s="33">
        <f>1-(1-CF_CPR)^(1/12)</f>
        <v/>
      </c>
      <c r="D166" s="33">
        <f>1-(1-CF_CDR)^(1/12)</f>
        <v/>
      </c>
      <c r="E166" s="28">
        <f>B166*D166</f>
        <v/>
      </c>
      <c r="F166" s="28">
        <f>B166-E166</f>
        <v/>
      </c>
      <c r="G166" s="28">
        <f>IF(F166&gt;0.005,PMT(WAC/12,Term-A166+1,-F166),0)</f>
        <v/>
      </c>
      <c r="H166" s="28">
        <f>F166*WAC/12</f>
        <v/>
      </c>
      <c r="I166" s="28">
        <f>F166*(WAC-ServFee)/12</f>
        <v/>
      </c>
      <c r="J166" s="28">
        <f>G166-H166</f>
        <v/>
      </c>
      <c r="K166" s="28">
        <f>(F166-J166)*C166</f>
        <v/>
      </c>
      <c r="L166" s="28">
        <f>E166*Severity</f>
        <v/>
      </c>
      <c r="M166" s="28">
        <f>E166-L166</f>
        <v/>
      </c>
      <c r="N166" s="28">
        <f>J166+K166+M166</f>
        <v/>
      </c>
      <c r="O166" s="28">
        <f>F166-J166-K166</f>
        <v/>
      </c>
      <c r="P166" s="28">
        <f>I166+N166</f>
        <v/>
      </c>
      <c r="Q166" s="36">
        <f>(1+CF_Yield/12)^-A166</f>
        <v/>
      </c>
      <c r="R166" s="28">
        <f>P166*Q166</f>
        <v/>
      </c>
    </row>
    <row r="167">
      <c r="A167" s="26">
        <f>A166+1</f>
        <v/>
      </c>
      <c r="B167" s="28">
        <f>O166</f>
        <v/>
      </c>
      <c r="C167" s="33">
        <f>1-(1-CF_CPR)^(1/12)</f>
        <v/>
      </c>
      <c r="D167" s="33">
        <f>1-(1-CF_CDR)^(1/12)</f>
        <v/>
      </c>
      <c r="E167" s="28">
        <f>B167*D167</f>
        <v/>
      </c>
      <c r="F167" s="28">
        <f>B167-E167</f>
        <v/>
      </c>
      <c r="G167" s="28">
        <f>IF(F167&gt;0.005,PMT(WAC/12,Term-A167+1,-F167),0)</f>
        <v/>
      </c>
      <c r="H167" s="28">
        <f>F167*WAC/12</f>
        <v/>
      </c>
      <c r="I167" s="28">
        <f>F167*(WAC-ServFee)/12</f>
        <v/>
      </c>
      <c r="J167" s="28">
        <f>G167-H167</f>
        <v/>
      </c>
      <c r="K167" s="28">
        <f>(F167-J167)*C167</f>
        <v/>
      </c>
      <c r="L167" s="28">
        <f>E167*Severity</f>
        <v/>
      </c>
      <c r="M167" s="28">
        <f>E167-L167</f>
        <v/>
      </c>
      <c r="N167" s="28">
        <f>J167+K167+M167</f>
        <v/>
      </c>
      <c r="O167" s="28">
        <f>F167-J167-K167</f>
        <v/>
      </c>
      <c r="P167" s="28">
        <f>I167+N167</f>
        <v/>
      </c>
      <c r="Q167" s="36">
        <f>(1+CF_Yield/12)^-A167</f>
        <v/>
      </c>
      <c r="R167" s="28">
        <f>P167*Q167</f>
        <v/>
      </c>
    </row>
    <row r="168">
      <c r="A168" s="26">
        <f>A167+1</f>
        <v/>
      </c>
      <c r="B168" s="28">
        <f>O167</f>
        <v/>
      </c>
      <c r="C168" s="33">
        <f>1-(1-CF_CPR)^(1/12)</f>
        <v/>
      </c>
      <c r="D168" s="33">
        <f>1-(1-CF_CDR)^(1/12)</f>
        <v/>
      </c>
      <c r="E168" s="28">
        <f>B168*D168</f>
        <v/>
      </c>
      <c r="F168" s="28">
        <f>B168-E168</f>
        <v/>
      </c>
      <c r="G168" s="28">
        <f>IF(F168&gt;0.005,PMT(WAC/12,Term-A168+1,-F168),0)</f>
        <v/>
      </c>
      <c r="H168" s="28">
        <f>F168*WAC/12</f>
        <v/>
      </c>
      <c r="I168" s="28">
        <f>F168*(WAC-ServFee)/12</f>
        <v/>
      </c>
      <c r="J168" s="28">
        <f>G168-H168</f>
        <v/>
      </c>
      <c r="K168" s="28">
        <f>(F168-J168)*C168</f>
        <v/>
      </c>
      <c r="L168" s="28">
        <f>E168*Severity</f>
        <v/>
      </c>
      <c r="M168" s="28">
        <f>E168-L168</f>
        <v/>
      </c>
      <c r="N168" s="28">
        <f>J168+K168+M168</f>
        <v/>
      </c>
      <c r="O168" s="28">
        <f>F168-J168-K168</f>
        <v/>
      </c>
      <c r="P168" s="28">
        <f>I168+N168</f>
        <v/>
      </c>
      <c r="Q168" s="36">
        <f>(1+CF_Yield/12)^-A168</f>
        <v/>
      </c>
      <c r="R168" s="28">
        <f>P168*Q168</f>
        <v/>
      </c>
    </row>
    <row r="169">
      <c r="A169" s="26">
        <f>A168+1</f>
        <v/>
      </c>
      <c r="B169" s="28">
        <f>O168</f>
        <v/>
      </c>
      <c r="C169" s="33">
        <f>1-(1-CF_CPR)^(1/12)</f>
        <v/>
      </c>
      <c r="D169" s="33">
        <f>1-(1-CF_CDR)^(1/12)</f>
        <v/>
      </c>
      <c r="E169" s="28">
        <f>B169*D169</f>
        <v/>
      </c>
      <c r="F169" s="28">
        <f>B169-E169</f>
        <v/>
      </c>
      <c r="G169" s="28">
        <f>IF(F169&gt;0.005,PMT(WAC/12,Term-A169+1,-F169),0)</f>
        <v/>
      </c>
      <c r="H169" s="28">
        <f>F169*WAC/12</f>
        <v/>
      </c>
      <c r="I169" s="28">
        <f>F169*(WAC-ServFee)/12</f>
        <v/>
      </c>
      <c r="J169" s="28">
        <f>G169-H169</f>
        <v/>
      </c>
      <c r="K169" s="28">
        <f>(F169-J169)*C169</f>
        <v/>
      </c>
      <c r="L169" s="28">
        <f>E169*Severity</f>
        <v/>
      </c>
      <c r="M169" s="28">
        <f>E169-L169</f>
        <v/>
      </c>
      <c r="N169" s="28">
        <f>J169+K169+M169</f>
        <v/>
      </c>
      <c r="O169" s="28">
        <f>F169-J169-K169</f>
        <v/>
      </c>
      <c r="P169" s="28">
        <f>I169+N169</f>
        <v/>
      </c>
      <c r="Q169" s="36">
        <f>(1+CF_Yield/12)^-A169</f>
        <v/>
      </c>
      <c r="R169" s="28">
        <f>P169*Q169</f>
        <v/>
      </c>
    </row>
    <row r="170">
      <c r="A170" s="26">
        <f>A169+1</f>
        <v/>
      </c>
      <c r="B170" s="28">
        <f>O169</f>
        <v/>
      </c>
      <c r="C170" s="33">
        <f>1-(1-CF_CPR)^(1/12)</f>
        <v/>
      </c>
      <c r="D170" s="33">
        <f>1-(1-CF_CDR)^(1/12)</f>
        <v/>
      </c>
      <c r="E170" s="28">
        <f>B170*D170</f>
        <v/>
      </c>
      <c r="F170" s="28">
        <f>B170-E170</f>
        <v/>
      </c>
      <c r="G170" s="28">
        <f>IF(F170&gt;0.005,PMT(WAC/12,Term-A170+1,-F170),0)</f>
        <v/>
      </c>
      <c r="H170" s="28">
        <f>F170*WAC/12</f>
        <v/>
      </c>
      <c r="I170" s="28">
        <f>F170*(WAC-ServFee)/12</f>
        <v/>
      </c>
      <c r="J170" s="28">
        <f>G170-H170</f>
        <v/>
      </c>
      <c r="K170" s="28">
        <f>(F170-J170)*C170</f>
        <v/>
      </c>
      <c r="L170" s="28">
        <f>E170*Severity</f>
        <v/>
      </c>
      <c r="M170" s="28">
        <f>E170-L170</f>
        <v/>
      </c>
      <c r="N170" s="28">
        <f>J170+K170+M170</f>
        <v/>
      </c>
      <c r="O170" s="28">
        <f>F170-J170-K170</f>
        <v/>
      </c>
      <c r="P170" s="28">
        <f>I170+N170</f>
        <v/>
      </c>
      <c r="Q170" s="36">
        <f>(1+CF_Yield/12)^-A170</f>
        <v/>
      </c>
      <c r="R170" s="28">
        <f>P170*Q170</f>
        <v/>
      </c>
    </row>
    <row r="171">
      <c r="A171" s="26">
        <f>A170+1</f>
        <v/>
      </c>
      <c r="B171" s="28">
        <f>O170</f>
        <v/>
      </c>
      <c r="C171" s="33">
        <f>1-(1-CF_CPR)^(1/12)</f>
        <v/>
      </c>
      <c r="D171" s="33">
        <f>1-(1-CF_CDR)^(1/12)</f>
        <v/>
      </c>
      <c r="E171" s="28">
        <f>B171*D171</f>
        <v/>
      </c>
      <c r="F171" s="28">
        <f>B171-E171</f>
        <v/>
      </c>
      <c r="G171" s="28">
        <f>IF(F171&gt;0.005,PMT(WAC/12,Term-A171+1,-F171),0)</f>
        <v/>
      </c>
      <c r="H171" s="28">
        <f>F171*WAC/12</f>
        <v/>
      </c>
      <c r="I171" s="28">
        <f>F171*(WAC-ServFee)/12</f>
        <v/>
      </c>
      <c r="J171" s="28">
        <f>G171-H171</f>
        <v/>
      </c>
      <c r="K171" s="28">
        <f>(F171-J171)*C171</f>
        <v/>
      </c>
      <c r="L171" s="28">
        <f>E171*Severity</f>
        <v/>
      </c>
      <c r="M171" s="28">
        <f>E171-L171</f>
        <v/>
      </c>
      <c r="N171" s="28">
        <f>J171+K171+M171</f>
        <v/>
      </c>
      <c r="O171" s="28">
        <f>F171-J171-K171</f>
        <v/>
      </c>
      <c r="P171" s="28">
        <f>I171+N171</f>
        <v/>
      </c>
      <c r="Q171" s="36">
        <f>(1+CF_Yield/12)^-A171</f>
        <v/>
      </c>
      <c r="R171" s="28">
        <f>P171*Q171</f>
        <v/>
      </c>
    </row>
    <row r="172">
      <c r="A172" s="26">
        <f>A171+1</f>
        <v/>
      </c>
      <c r="B172" s="28">
        <f>O171</f>
        <v/>
      </c>
      <c r="C172" s="33">
        <f>1-(1-CF_CPR)^(1/12)</f>
        <v/>
      </c>
      <c r="D172" s="33">
        <f>1-(1-CF_CDR)^(1/12)</f>
        <v/>
      </c>
      <c r="E172" s="28">
        <f>B172*D172</f>
        <v/>
      </c>
      <c r="F172" s="28">
        <f>B172-E172</f>
        <v/>
      </c>
      <c r="G172" s="28">
        <f>IF(F172&gt;0.005,PMT(WAC/12,Term-A172+1,-F172),0)</f>
        <v/>
      </c>
      <c r="H172" s="28">
        <f>F172*WAC/12</f>
        <v/>
      </c>
      <c r="I172" s="28">
        <f>F172*(WAC-ServFee)/12</f>
        <v/>
      </c>
      <c r="J172" s="28">
        <f>G172-H172</f>
        <v/>
      </c>
      <c r="K172" s="28">
        <f>(F172-J172)*C172</f>
        <v/>
      </c>
      <c r="L172" s="28">
        <f>E172*Severity</f>
        <v/>
      </c>
      <c r="M172" s="28">
        <f>E172-L172</f>
        <v/>
      </c>
      <c r="N172" s="28">
        <f>J172+K172+M172</f>
        <v/>
      </c>
      <c r="O172" s="28">
        <f>F172-J172-K172</f>
        <v/>
      </c>
      <c r="P172" s="28">
        <f>I172+N172</f>
        <v/>
      </c>
      <c r="Q172" s="36">
        <f>(1+CF_Yield/12)^-A172</f>
        <v/>
      </c>
      <c r="R172" s="28">
        <f>P172*Q172</f>
        <v/>
      </c>
    </row>
    <row r="173">
      <c r="A173" s="26">
        <f>A172+1</f>
        <v/>
      </c>
      <c r="B173" s="28">
        <f>O172</f>
        <v/>
      </c>
      <c r="C173" s="33">
        <f>1-(1-CF_CPR)^(1/12)</f>
        <v/>
      </c>
      <c r="D173" s="33">
        <f>1-(1-CF_CDR)^(1/12)</f>
        <v/>
      </c>
      <c r="E173" s="28">
        <f>B173*D173</f>
        <v/>
      </c>
      <c r="F173" s="28">
        <f>B173-E173</f>
        <v/>
      </c>
      <c r="G173" s="28">
        <f>IF(F173&gt;0.005,PMT(WAC/12,Term-A173+1,-F173),0)</f>
        <v/>
      </c>
      <c r="H173" s="28">
        <f>F173*WAC/12</f>
        <v/>
      </c>
      <c r="I173" s="28">
        <f>F173*(WAC-ServFee)/12</f>
        <v/>
      </c>
      <c r="J173" s="28">
        <f>G173-H173</f>
        <v/>
      </c>
      <c r="K173" s="28">
        <f>(F173-J173)*C173</f>
        <v/>
      </c>
      <c r="L173" s="28">
        <f>E173*Severity</f>
        <v/>
      </c>
      <c r="M173" s="28">
        <f>E173-L173</f>
        <v/>
      </c>
      <c r="N173" s="28">
        <f>J173+K173+M173</f>
        <v/>
      </c>
      <c r="O173" s="28">
        <f>F173-J173-K173</f>
        <v/>
      </c>
      <c r="P173" s="28">
        <f>I173+N173</f>
        <v/>
      </c>
      <c r="Q173" s="36">
        <f>(1+CF_Yield/12)^-A173</f>
        <v/>
      </c>
      <c r="R173" s="28">
        <f>P173*Q173</f>
        <v/>
      </c>
    </row>
    <row r="174">
      <c r="A174" s="26">
        <f>A173+1</f>
        <v/>
      </c>
      <c r="B174" s="28">
        <f>O173</f>
        <v/>
      </c>
      <c r="C174" s="33">
        <f>1-(1-CF_CPR)^(1/12)</f>
        <v/>
      </c>
      <c r="D174" s="33">
        <f>1-(1-CF_CDR)^(1/12)</f>
        <v/>
      </c>
      <c r="E174" s="28">
        <f>B174*D174</f>
        <v/>
      </c>
      <c r="F174" s="28">
        <f>B174-E174</f>
        <v/>
      </c>
      <c r="G174" s="28">
        <f>IF(F174&gt;0.005,PMT(WAC/12,Term-A174+1,-F174),0)</f>
        <v/>
      </c>
      <c r="H174" s="28">
        <f>F174*WAC/12</f>
        <v/>
      </c>
      <c r="I174" s="28">
        <f>F174*(WAC-ServFee)/12</f>
        <v/>
      </c>
      <c r="J174" s="28">
        <f>G174-H174</f>
        <v/>
      </c>
      <c r="K174" s="28">
        <f>(F174-J174)*C174</f>
        <v/>
      </c>
      <c r="L174" s="28">
        <f>E174*Severity</f>
        <v/>
      </c>
      <c r="M174" s="28">
        <f>E174-L174</f>
        <v/>
      </c>
      <c r="N174" s="28">
        <f>J174+K174+M174</f>
        <v/>
      </c>
      <c r="O174" s="28">
        <f>F174-J174-K174</f>
        <v/>
      </c>
      <c r="P174" s="28">
        <f>I174+N174</f>
        <v/>
      </c>
      <c r="Q174" s="36">
        <f>(1+CF_Yield/12)^-A174</f>
        <v/>
      </c>
      <c r="R174" s="28">
        <f>P174*Q174</f>
        <v/>
      </c>
    </row>
    <row r="175">
      <c r="A175" s="26">
        <f>A174+1</f>
        <v/>
      </c>
      <c r="B175" s="28">
        <f>O174</f>
        <v/>
      </c>
      <c r="C175" s="33">
        <f>1-(1-CF_CPR)^(1/12)</f>
        <v/>
      </c>
      <c r="D175" s="33">
        <f>1-(1-CF_CDR)^(1/12)</f>
        <v/>
      </c>
      <c r="E175" s="28">
        <f>B175*D175</f>
        <v/>
      </c>
      <c r="F175" s="28">
        <f>B175-E175</f>
        <v/>
      </c>
      <c r="G175" s="28">
        <f>IF(F175&gt;0.005,PMT(WAC/12,Term-A175+1,-F175),0)</f>
        <v/>
      </c>
      <c r="H175" s="28">
        <f>F175*WAC/12</f>
        <v/>
      </c>
      <c r="I175" s="28">
        <f>F175*(WAC-ServFee)/12</f>
        <v/>
      </c>
      <c r="J175" s="28">
        <f>G175-H175</f>
        <v/>
      </c>
      <c r="K175" s="28">
        <f>(F175-J175)*C175</f>
        <v/>
      </c>
      <c r="L175" s="28">
        <f>E175*Severity</f>
        <v/>
      </c>
      <c r="M175" s="28">
        <f>E175-L175</f>
        <v/>
      </c>
      <c r="N175" s="28">
        <f>J175+K175+M175</f>
        <v/>
      </c>
      <c r="O175" s="28">
        <f>F175-J175-K175</f>
        <v/>
      </c>
      <c r="P175" s="28">
        <f>I175+N175</f>
        <v/>
      </c>
      <c r="Q175" s="36">
        <f>(1+CF_Yield/12)^-A175</f>
        <v/>
      </c>
      <c r="R175" s="28">
        <f>P175*Q175</f>
        <v/>
      </c>
    </row>
    <row r="176">
      <c r="A176" s="26">
        <f>A175+1</f>
        <v/>
      </c>
      <c r="B176" s="28">
        <f>O175</f>
        <v/>
      </c>
      <c r="C176" s="33">
        <f>1-(1-CF_CPR)^(1/12)</f>
        <v/>
      </c>
      <c r="D176" s="33">
        <f>1-(1-CF_CDR)^(1/12)</f>
        <v/>
      </c>
      <c r="E176" s="28">
        <f>B176*D176</f>
        <v/>
      </c>
      <c r="F176" s="28">
        <f>B176-E176</f>
        <v/>
      </c>
      <c r="G176" s="28">
        <f>IF(F176&gt;0.005,PMT(WAC/12,Term-A176+1,-F176),0)</f>
        <v/>
      </c>
      <c r="H176" s="28">
        <f>F176*WAC/12</f>
        <v/>
      </c>
      <c r="I176" s="28">
        <f>F176*(WAC-ServFee)/12</f>
        <v/>
      </c>
      <c r="J176" s="28">
        <f>G176-H176</f>
        <v/>
      </c>
      <c r="K176" s="28">
        <f>(F176-J176)*C176</f>
        <v/>
      </c>
      <c r="L176" s="28">
        <f>E176*Severity</f>
        <v/>
      </c>
      <c r="M176" s="28">
        <f>E176-L176</f>
        <v/>
      </c>
      <c r="N176" s="28">
        <f>J176+K176+M176</f>
        <v/>
      </c>
      <c r="O176" s="28">
        <f>F176-J176-K176</f>
        <v/>
      </c>
      <c r="P176" s="28">
        <f>I176+N176</f>
        <v/>
      </c>
      <c r="Q176" s="36">
        <f>(1+CF_Yield/12)^-A176</f>
        <v/>
      </c>
      <c r="R176" s="28">
        <f>P176*Q176</f>
        <v/>
      </c>
    </row>
    <row r="177">
      <c r="A177" s="26">
        <f>A176+1</f>
        <v/>
      </c>
      <c r="B177" s="28">
        <f>O176</f>
        <v/>
      </c>
      <c r="C177" s="33">
        <f>1-(1-CF_CPR)^(1/12)</f>
        <v/>
      </c>
      <c r="D177" s="33">
        <f>1-(1-CF_CDR)^(1/12)</f>
        <v/>
      </c>
      <c r="E177" s="28">
        <f>B177*D177</f>
        <v/>
      </c>
      <c r="F177" s="28">
        <f>B177-E177</f>
        <v/>
      </c>
      <c r="G177" s="28">
        <f>IF(F177&gt;0.005,PMT(WAC/12,Term-A177+1,-F177),0)</f>
        <v/>
      </c>
      <c r="H177" s="28">
        <f>F177*WAC/12</f>
        <v/>
      </c>
      <c r="I177" s="28">
        <f>F177*(WAC-ServFee)/12</f>
        <v/>
      </c>
      <c r="J177" s="28">
        <f>G177-H177</f>
        <v/>
      </c>
      <c r="K177" s="28">
        <f>(F177-J177)*C177</f>
        <v/>
      </c>
      <c r="L177" s="28">
        <f>E177*Severity</f>
        <v/>
      </c>
      <c r="M177" s="28">
        <f>E177-L177</f>
        <v/>
      </c>
      <c r="N177" s="28">
        <f>J177+K177+M177</f>
        <v/>
      </c>
      <c r="O177" s="28">
        <f>F177-J177-K177</f>
        <v/>
      </c>
      <c r="P177" s="28">
        <f>I177+N177</f>
        <v/>
      </c>
      <c r="Q177" s="36">
        <f>(1+CF_Yield/12)^-A177</f>
        <v/>
      </c>
      <c r="R177" s="28">
        <f>P177*Q177</f>
        <v/>
      </c>
    </row>
    <row r="178">
      <c r="A178" s="26">
        <f>A177+1</f>
        <v/>
      </c>
      <c r="B178" s="28">
        <f>O177</f>
        <v/>
      </c>
      <c r="C178" s="33">
        <f>1-(1-CF_CPR)^(1/12)</f>
        <v/>
      </c>
      <c r="D178" s="33">
        <f>1-(1-CF_CDR)^(1/12)</f>
        <v/>
      </c>
      <c r="E178" s="28">
        <f>B178*D178</f>
        <v/>
      </c>
      <c r="F178" s="28">
        <f>B178-E178</f>
        <v/>
      </c>
      <c r="G178" s="28">
        <f>IF(F178&gt;0.005,PMT(WAC/12,Term-A178+1,-F178),0)</f>
        <v/>
      </c>
      <c r="H178" s="28">
        <f>F178*WAC/12</f>
        <v/>
      </c>
      <c r="I178" s="28">
        <f>F178*(WAC-ServFee)/12</f>
        <v/>
      </c>
      <c r="J178" s="28">
        <f>G178-H178</f>
        <v/>
      </c>
      <c r="K178" s="28">
        <f>(F178-J178)*C178</f>
        <v/>
      </c>
      <c r="L178" s="28">
        <f>E178*Severity</f>
        <v/>
      </c>
      <c r="M178" s="28">
        <f>E178-L178</f>
        <v/>
      </c>
      <c r="N178" s="28">
        <f>J178+K178+M178</f>
        <v/>
      </c>
      <c r="O178" s="28">
        <f>F178-J178-K178</f>
        <v/>
      </c>
      <c r="P178" s="28">
        <f>I178+N178</f>
        <v/>
      </c>
      <c r="Q178" s="36">
        <f>(1+CF_Yield/12)^-A178</f>
        <v/>
      </c>
      <c r="R178" s="28">
        <f>P178*Q178</f>
        <v/>
      </c>
    </row>
    <row r="179">
      <c r="A179" s="26">
        <f>A178+1</f>
        <v/>
      </c>
      <c r="B179" s="28">
        <f>O178</f>
        <v/>
      </c>
      <c r="C179" s="33">
        <f>1-(1-CF_CPR)^(1/12)</f>
        <v/>
      </c>
      <c r="D179" s="33">
        <f>1-(1-CF_CDR)^(1/12)</f>
        <v/>
      </c>
      <c r="E179" s="28">
        <f>B179*D179</f>
        <v/>
      </c>
      <c r="F179" s="28">
        <f>B179-E179</f>
        <v/>
      </c>
      <c r="G179" s="28">
        <f>IF(F179&gt;0.005,PMT(WAC/12,Term-A179+1,-F179),0)</f>
        <v/>
      </c>
      <c r="H179" s="28">
        <f>F179*WAC/12</f>
        <v/>
      </c>
      <c r="I179" s="28">
        <f>F179*(WAC-ServFee)/12</f>
        <v/>
      </c>
      <c r="J179" s="28">
        <f>G179-H179</f>
        <v/>
      </c>
      <c r="K179" s="28">
        <f>(F179-J179)*C179</f>
        <v/>
      </c>
      <c r="L179" s="28">
        <f>E179*Severity</f>
        <v/>
      </c>
      <c r="M179" s="28">
        <f>E179-L179</f>
        <v/>
      </c>
      <c r="N179" s="28">
        <f>J179+K179+M179</f>
        <v/>
      </c>
      <c r="O179" s="28">
        <f>F179-J179-K179</f>
        <v/>
      </c>
      <c r="P179" s="28">
        <f>I179+N179</f>
        <v/>
      </c>
      <c r="Q179" s="36">
        <f>(1+CF_Yield/12)^-A179</f>
        <v/>
      </c>
      <c r="R179" s="28">
        <f>P179*Q179</f>
        <v/>
      </c>
    </row>
    <row r="180">
      <c r="A180" s="26">
        <f>A179+1</f>
        <v/>
      </c>
      <c r="B180" s="28">
        <f>O179</f>
        <v/>
      </c>
      <c r="C180" s="33">
        <f>1-(1-CF_CPR)^(1/12)</f>
        <v/>
      </c>
      <c r="D180" s="33">
        <f>1-(1-CF_CDR)^(1/12)</f>
        <v/>
      </c>
      <c r="E180" s="28">
        <f>B180*D180</f>
        <v/>
      </c>
      <c r="F180" s="28">
        <f>B180-E180</f>
        <v/>
      </c>
      <c r="G180" s="28">
        <f>IF(F180&gt;0.005,PMT(WAC/12,Term-A180+1,-F180),0)</f>
        <v/>
      </c>
      <c r="H180" s="28">
        <f>F180*WAC/12</f>
        <v/>
      </c>
      <c r="I180" s="28">
        <f>F180*(WAC-ServFee)/12</f>
        <v/>
      </c>
      <c r="J180" s="28">
        <f>G180-H180</f>
        <v/>
      </c>
      <c r="K180" s="28">
        <f>(F180-J180)*C180</f>
        <v/>
      </c>
      <c r="L180" s="28">
        <f>E180*Severity</f>
        <v/>
      </c>
      <c r="M180" s="28">
        <f>E180-L180</f>
        <v/>
      </c>
      <c r="N180" s="28">
        <f>J180+K180+M180</f>
        <v/>
      </c>
      <c r="O180" s="28">
        <f>F180-J180-K180</f>
        <v/>
      </c>
      <c r="P180" s="28">
        <f>I180+N180</f>
        <v/>
      </c>
      <c r="Q180" s="36">
        <f>(1+CF_Yield/12)^-A180</f>
        <v/>
      </c>
      <c r="R180" s="28">
        <f>P180*Q180</f>
        <v/>
      </c>
    </row>
    <row r="181">
      <c r="A181" s="26">
        <f>A180+1</f>
        <v/>
      </c>
      <c r="B181" s="28">
        <f>O180</f>
        <v/>
      </c>
      <c r="C181" s="33">
        <f>1-(1-CF_CPR)^(1/12)</f>
        <v/>
      </c>
      <c r="D181" s="33">
        <f>1-(1-CF_CDR)^(1/12)</f>
        <v/>
      </c>
      <c r="E181" s="28">
        <f>B181*D181</f>
        <v/>
      </c>
      <c r="F181" s="28">
        <f>B181-E181</f>
        <v/>
      </c>
      <c r="G181" s="28">
        <f>IF(F181&gt;0.005,PMT(WAC/12,Term-A181+1,-F181),0)</f>
        <v/>
      </c>
      <c r="H181" s="28">
        <f>F181*WAC/12</f>
        <v/>
      </c>
      <c r="I181" s="28">
        <f>F181*(WAC-ServFee)/12</f>
        <v/>
      </c>
      <c r="J181" s="28">
        <f>G181-H181</f>
        <v/>
      </c>
      <c r="K181" s="28">
        <f>(F181-J181)*C181</f>
        <v/>
      </c>
      <c r="L181" s="28">
        <f>E181*Severity</f>
        <v/>
      </c>
      <c r="M181" s="28">
        <f>E181-L181</f>
        <v/>
      </c>
      <c r="N181" s="28">
        <f>J181+K181+M181</f>
        <v/>
      </c>
      <c r="O181" s="28">
        <f>F181-J181-K181</f>
        <v/>
      </c>
      <c r="P181" s="28">
        <f>I181+N181</f>
        <v/>
      </c>
      <c r="Q181" s="36">
        <f>(1+CF_Yield/12)^-A181</f>
        <v/>
      </c>
      <c r="R181" s="28">
        <f>P181*Q181</f>
        <v/>
      </c>
    </row>
    <row r="182">
      <c r="A182" s="26">
        <f>A181+1</f>
        <v/>
      </c>
      <c r="B182" s="28">
        <f>O181</f>
        <v/>
      </c>
      <c r="C182" s="33">
        <f>1-(1-CF_CPR)^(1/12)</f>
        <v/>
      </c>
      <c r="D182" s="33">
        <f>1-(1-CF_CDR)^(1/12)</f>
        <v/>
      </c>
      <c r="E182" s="28">
        <f>B182*D182</f>
        <v/>
      </c>
      <c r="F182" s="28">
        <f>B182-E182</f>
        <v/>
      </c>
      <c r="G182" s="28">
        <f>IF(F182&gt;0.005,PMT(WAC/12,Term-A182+1,-F182),0)</f>
        <v/>
      </c>
      <c r="H182" s="28">
        <f>F182*WAC/12</f>
        <v/>
      </c>
      <c r="I182" s="28">
        <f>F182*(WAC-ServFee)/12</f>
        <v/>
      </c>
      <c r="J182" s="28">
        <f>G182-H182</f>
        <v/>
      </c>
      <c r="K182" s="28">
        <f>(F182-J182)*C182</f>
        <v/>
      </c>
      <c r="L182" s="28">
        <f>E182*Severity</f>
        <v/>
      </c>
      <c r="M182" s="28">
        <f>E182-L182</f>
        <v/>
      </c>
      <c r="N182" s="28">
        <f>J182+K182+M182</f>
        <v/>
      </c>
      <c r="O182" s="28">
        <f>F182-J182-K182</f>
        <v/>
      </c>
      <c r="P182" s="28">
        <f>I182+N182</f>
        <v/>
      </c>
      <c r="Q182" s="36">
        <f>(1+CF_Yield/12)^-A182</f>
        <v/>
      </c>
      <c r="R182" s="28">
        <f>P182*Q182</f>
        <v/>
      </c>
    </row>
    <row r="183">
      <c r="A183" s="26">
        <f>A182+1</f>
        <v/>
      </c>
      <c r="B183" s="28">
        <f>O182</f>
        <v/>
      </c>
      <c r="C183" s="33">
        <f>1-(1-CF_CPR)^(1/12)</f>
        <v/>
      </c>
      <c r="D183" s="33">
        <f>1-(1-CF_CDR)^(1/12)</f>
        <v/>
      </c>
      <c r="E183" s="28">
        <f>B183*D183</f>
        <v/>
      </c>
      <c r="F183" s="28">
        <f>B183-E183</f>
        <v/>
      </c>
      <c r="G183" s="28">
        <f>IF(F183&gt;0.005,PMT(WAC/12,Term-A183+1,-F183),0)</f>
        <v/>
      </c>
      <c r="H183" s="28">
        <f>F183*WAC/12</f>
        <v/>
      </c>
      <c r="I183" s="28">
        <f>F183*(WAC-ServFee)/12</f>
        <v/>
      </c>
      <c r="J183" s="28">
        <f>G183-H183</f>
        <v/>
      </c>
      <c r="K183" s="28">
        <f>(F183-J183)*C183</f>
        <v/>
      </c>
      <c r="L183" s="28">
        <f>E183*Severity</f>
        <v/>
      </c>
      <c r="M183" s="28">
        <f>E183-L183</f>
        <v/>
      </c>
      <c r="N183" s="28">
        <f>J183+K183+M183</f>
        <v/>
      </c>
      <c r="O183" s="28">
        <f>F183-J183-K183</f>
        <v/>
      </c>
      <c r="P183" s="28">
        <f>I183+N183</f>
        <v/>
      </c>
      <c r="Q183" s="36">
        <f>(1+CF_Yield/12)^-A183</f>
        <v/>
      </c>
      <c r="R183" s="28">
        <f>P183*Q183</f>
        <v/>
      </c>
    </row>
    <row r="184">
      <c r="A184" s="26">
        <f>A183+1</f>
        <v/>
      </c>
      <c r="B184" s="28">
        <f>O183</f>
        <v/>
      </c>
      <c r="C184" s="33">
        <f>1-(1-CF_CPR)^(1/12)</f>
        <v/>
      </c>
      <c r="D184" s="33">
        <f>1-(1-CF_CDR)^(1/12)</f>
        <v/>
      </c>
      <c r="E184" s="28">
        <f>B184*D184</f>
        <v/>
      </c>
      <c r="F184" s="28">
        <f>B184-E184</f>
        <v/>
      </c>
      <c r="G184" s="28">
        <f>IF(F184&gt;0.005,PMT(WAC/12,Term-A184+1,-F184),0)</f>
        <v/>
      </c>
      <c r="H184" s="28">
        <f>F184*WAC/12</f>
        <v/>
      </c>
      <c r="I184" s="28">
        <f>F184*(WAC-ServFee)/12</f>
        <v/>
      </c>
      <c r="J184" s="28">
        <f>G184-H184</f>
        <v/>
      </c>
      <c r="K184" s="28">
        <f>(F184-J184)*C184</f>
        <v/>
      </c>
      <c r="L184" s="28">
        <f>E184*Severity</f>
        <v/>
      </c>
      <c r="M184" s="28">
        <f>E184-L184</f>
        <v/>
      </c>
      <c r="N184" s="28">
        <f>J184+K184+M184</f>
        <v/>
      </c>
      <c r="O184" s="28">
        <f>F184-J184-K184</f>
        <v/>
      </c>
      <c r="P184" s="28">
        <f>I184+N184</f>
        <v/>
      </c>
      <c r="Q184" s="36">
        <f>(1+CF_Yield/12)^-A184</f>
        <v/>
      </c>
      <c r="R184" s="28">
        <f>P184*Q184</f>
        <v/>
      </c>
    </row>
    <row r="185">
      <c r="A185" s="26">
        <f>A184+1</f>
        <v/>
      </c>
      <c r="B185" s="28">
        <f>O184</f>
        <v/>
      </c>
      <c r="C185" s="33">
        <f>1-(1-CF_CPR)^(1/12)</f>
        <v/>
      </c>
      <c r="D185" s="33">
        <f>1-(1-CF_CDR)^(1/12)</f>
        <v/>
      </c>
      <c r="E185" s="28">
        <f>B185*D185</f>
        <v/>
      </c>
      <c r="F185" s="28">
        <f>B185-E185</f>
        <v/>
      </c>
      <c r="G185" s="28">
        <f>IF(F185&gt;0.005,PMT(WAC/12,Term-A185+1,-F185),0)</f>
        <v/>
      </c>
      <c r="H185" s="28">
        <f>F185*WAC/12</f>
        <v/>
      </c>
      <c r="I185" s="28">
        <f>F185*(WAC-ServFee)/12</f>
        <v/>
      </c>
      <c r="J185" s="28">
        <f>G185-H185</f>
        <v/>
      </c>
      <c r="K185" s="28">
        <f>(F185-J185)*C185</f>
        <v/>
      </c>
      <c r="L185" s="28">
        <f>E185*Severity</f>
        <v/>
      </c>
      <c r="M185" s="28">
        <f>E185-L185</f>
        <v/>
      </c>
      <c r="N185" s="28">
        <f>J185+K185+M185</f>
        <v/>
      </c>
      <c r="O185" s="28">
        <f>F185-J185-K185</f>
        <v/>
      </c>
      <c r="P185" s="28">
        <f>I185+N185</f>
        <v/>
      </c>
      <c r="Q185" s="36">
        <f>(1+CF_Yield/12)^-A185</f>
        <v/>
      </c>
      <c r="R185" s="28">
        <f>P185*Q185</f>
        <v/>
      </c>
    </row>
    <row r="186">
      <c r="A186" s="26">
        <f>A185+1</f>
        <v/>
      </c>
      <c r="B186" s="28">
        <f>O185</f>
        <v/>
      </c>
      <c r="C186" s="33">
        <f>1-(1-CF_CPR)^(1/12)</f>
        <v/>
      </c>
      <c r="D186" s="33">
        <f>1-(1-CF_CDR)^(1/12)</f>
        <v/>
      </c>
      <c r="E186" s="28">
        <f>B186*D186</f>
        <v/>
      </c>
      <c r="F186" s="28">
        <f>B186-E186</f>
        <v/>
      </c>
      <c r="G186" s="28">
        <f>IF(F186&gt;0.005,PMT(WAC/12,Term-A186+1,-F186),0)</f>
        <v/>
      </c>
      <c r="H186" s="28">
        <f>F186*WAC/12</f>
        <v/>
      </c>
      <c r="I186" s="28">
        <f>F186*(WAC-ServFee)/12</f>
        <v/>
      </c>
      <c r="J186" s="28">
        <f>G186-H186</f>
        <v/>
      </c>
      <c r="K186" s="28">
        <f>(F186-J186)*C186</f>
        <v/>
      </c>
      <c r="L186" s="28">
        <f>E186*Severity</f>
        <v/>
      </c>
      <c r="M186" s="28">
        <f>E186-L186</f>
        <v/>
      </c>
      <c r="N186" s="28">
        <f>J186+K186+M186</f>
        <v/>
      </c>
      <c r="O186" s="28">
        <f>F186-J186-K186</f>
        <v/>
      </c>
      <c r="P186" s="28">
        <f>I186+N186</f>
        <v/>
      </c>
      <c r="Q186" s="36">
        <f>(1+CF_Yield/12)^-A186</f>
        <v/>
      </c>
      <c r="R186" s="28">
        <f>P186*Q186</f>
        <v/>
      </c>
    </row>
    <row r="187">
      <c r="A187" s="26">
        <f>A186+1</f>
        <v/>
      </c>
      <c r="B187" s="28">
        <f>O186</f>
        <v/>
      </c>
      <c r="C187" s="33">
        <f>1-(1-CF_CPR)^(1/12)</f>
        <v/>
      </c>
      <c r="D187" s="33">
        <f>1-(1-CF_CDR)^(1/12)</f>
        <v/>
      </c>
      <c r="E187" s="28">
        <f>B187*D187</f>
        <v/>
      </c>
      <c r="F187" s="28">
        <f>B187-E187</f>
        <v/>
      </c>
      <c r="G187" s="28">
        <f>IF(F187&gt;0.005,PMT(WAC/12,Term-A187+1,-F187),0)</f>
        <v/>
      </c>
      <c r="H187" s="28">
        <f>F187*WAC/12</f>
        <v/>
      </c>
      <c r="I187" s="28">
        <f>F187*(WAC-ServFee)/12</f>
        <v/>
      </c>
      <c r="J187" s="28">
        <f>G187-H187</f>
        <v/>
      </c>
      <c r="K187" s="28">
        <f>(F187-J187)*C187</f>
        <v/>
      </c>
      <c r="L187" s="28">
        <f>E187*Severity</f>
        <v/>
      </c>
      <c r="M187" s="28">
        <f>E187-L187</f>
        <v/>
      </c>
      <c r="N187" s="28">
        <f>J187+K187+M187</f>
        <v/>
      </c>
      <c r="O187" s="28">
        <f>F187-J187-K187</f>
        <v/>
      </c>
      <c r="P187" s="28">
        <f>I187+N187</f>
        <v/>
      </c>
      <c r="Q187" s="36">
        <f>(1+CF_Yield/12)^-A187</f>
        <v/>
      </c>
      <c r="R187" s="28">
        <f>P187*Q187</f>
        <v/>
      </c>
    </row>
    <row r="188">
      <c r="A188" s="26">
        <f>A187+1</f>
        <v/>
      </c>
      <c r="B188" s="28">
        <f>O187</f>
        <v/>
      </c>
      <c r="C188" s="33">
        <f>1-(1-CF_CPR)^(1/12)</f>
        <v/>
      </c>
      <c r="D188" s="33">
        <f>1-(1-CF_CDR)^(1/12)</f>
        <v/>
      </c>
      <c r="E188" s="28">
        <f>B188*D188</f>
        <v/>
      </c>
      <c r="F188" s="28">
        <f>B188-E188</f>
        <v/>
      </c>
      <c r="G188" s="28">
        <f>IF(F188&gt;0.005,PMT(WAC/12,Term-A188+1,-F188),0)</f>
        <v/>
      </c>
      <c r="H188" s="28">
        <f>F188*WAC/12</f>
        <v/>
      </c>
      <c r="I188" s="28">
        <f>F188*(WAC-ServFee)/12</f>
        <v/>
      </c>
      <c r="J188" s="28">
        <f>G188-H188</f>
        <v/>
      </c>
      <c r="K188" s="28">
        <f>(F188-J188)*C188</f>
        <v/>
      </c>
      <c r="L188" s="28">
        <f>E188*Severity</f>
        <v/>
      </c>
      <c r="M188" s="28">
        <f>E188-L188</f>
        <v/>
      </c>
      <c r="N188" s="28">
        <f>J188+K188+M188</f>
        <v/>
      </c>
      <c r="O188" s="28">
        <f>F188-J188-K188</f>
        <v/>
      </c>
      <c r="P188" s="28">
        <f>I188+N188</f>
        <v/>
      </c>
      <c r="Q188" s="36">
        <f>(1+CF_Yield/12)^-A188</f>
        <v/>
      </c>
      <c r="R188" s="28">
        <f>P188*Q188</f>
        <v/>
      </c>
    </row>
    <row r="189">
      <c r="A189" s="26">
        <f>A188+1</f>
        <v/>
      </c>
      <c r="B189" s="28">
        <f>O188</f>
        <v/>
      </c>
      <c r="C189" s="33">
        <f>1-(1-CF_CPR)^(1/12)</f>
        <v/>
      </c>
      <c r="D189" s="33">
        <f>1-(1-CF_CDR)^(1/12)</f>
        <v/>
      </c>
      <c r="E189" s="28">
        <f>B189*D189</f>
        <v/>
      </c>
      <c r="F189" s="28">
        <f>B189-E189</f>
        <v/>
      </c>
      <c r="G189" s="28">
        <f>IF(F189&gt;0.005,PMT(WAC/12,Term-A189+1,-F189),0)</f>
        <v/>
      </c>
      <c r="H189" s="28">
        <f>F189*WAC/12</f>
        <v/>
      </c>
      <c r="I189" s="28">
        <f>F189*(WAC-ServFee)/12</f>
        <v/>
      </c>
      <c r="J189" s="28">
        <f>G189-H189</f>
        <v/>
      </c>
      <c r="K189" s="28">
        <f>(F189-J189)*C189</f>
        <v/>
      </c>
      <c r="L189" s="28">
        <f>E189*Severity</f>
        <v/>
      </c>
      <c r="M189" s="28">
        <f>E189-L189</f>
        <v/>
      </c>
      <c r="N189" s="28">
        <f>J189+K189+M189</f>
        <v/>
      </c>
      <c r="O189" s="28">
        <f>F189-J189-K189</f>
        <v/>
      </c>
      <c r="P189" s="28">
        <f>I189+N189</f>
        <v/>
      </c>
      <c r="Q189" s="36">
        <f>(1+CF_Yield/12)^-A189</f>
        <v/>
      </c>
      <c r="R189" s="28">
        <f>P189*Q189</f>
        <v/>
      </c>
    </row>
    <row r="190">
      <c r="A190" s="26">
        <f>A189+1</f>
        <v/>
      </c>
      <c r="B190" s="28">
        <f>O189</f>
        <v/>
      </c>
      <c r="C190" s="33">
        <f>1-(1-CF_CPR)^(1/12)</f>
        <v/>
      </c>
      <c r="D190" s="33">
        <f>1-(1-CF_CDR)^(1/12)</f>
        <v/>
      </c>
      <c r="E190" s="28">
        <f>B190*D190</f>
        <v/>
      </c>
      <c r="F190" s="28">
        <f>B190-E190</f>
        <v/>
      </c>
      <c r="G190" s="28">
        <f>IF(F190&gt;0.005,PMT(WAC/12,Term-A190+1,-F190),0)</f>
        <v/>
      </c>
      <c r="H190" s="28">
        <f>F190*WAC/12</f>
        <v/>
      </c>
      <c r="I190" s="28">
        <f>F190*(WAC-ServFee)/12</f>
        <v/>
      </c>
      <c r="J190" s="28">
        <f>G190-H190</f>
        <v/>
      </c>
      <c r="K190" s="28">
        <f>(F190-J190)*C190</f>
        <v/>
      </c>
      <c r="L190" s="28">
        <f>E190*Severity</f>
        <v/>
      </c>
      <c r="M190" s="28">
        <f>E190-L190</f>
        <v/>
      </c>
      <c r="N190" s="28">
        <f>J190+K190+M190</f>
        <v/>
      </c>
      <c r="O190" s="28">
        <f>F190-J190-K190</f>
        <v/>
      </c>
      <c r="P190" s="28">
        <f>I190+N190</f>
        <v/>
      </c>
      <c r="Q190" s="36">
        <f>(1+CF_Yield/12)^-A190</f>
        <v/>
      </c>
      <c r="R190" s="28">
        <f>P190*Q190</f>
        <v/>
      </c>
    </row>
    <row r="191">
      <c r="A191" s="26">
        <f>A190+1</f>
        <v/>
      </c>
      <c r="B191" s="28">
        <f>O190</f>
        <v/>
      </c>
      <c r="C191" s="33">
        <f>1-(1-CF_CPR)^(1/12)</f>
        <v/>
      </c>
      <c r="D191" s="33">
        <f>1-(1-CF_CDR)^(1/12)</f>
        <v/>
      </c>
      <c r="E191" s="28">
        <f>B191*D191</f>
        <v/>
      </c>
      <c r="F191" s="28">
        <f>B191-E191</f>
        <v/>
      </c>
      <c r="G191" s="28">
        <f>IF(F191&gt;0.005,PMT(WAC/12,Term-A191+1,-F191),0)</f>
        <v/>
      </c>
      <c r="H191" s="28">
        <f>F191*WAC/12</f>
        <v/>
      </c>
      <c r="I191" s="28">
        <f>F191*(WAC-ServFee)/12</f>
        <v/>
      </c>
      <c r="J191" s="28">
        <f>G191-H191</f>
        <v/>
      </c>
      <c r="K191" s="28">
        <f>(F191-J191)*C191</f>
        <v/>
      </c>
      <c r="L191" s="28">
        <f>E191*Severity</f>
        <v/>
      </c>
      <c r="M191" s="28">
        <f>E191-L191</f>
        <v/>
      </c>
      <c r="N191" s="28">
        <f>J191+K191+M191</f>
        <v/>
      </c>
      <c r="O191" s="28">
        <f>F191-J191-K191</f>
        <v/>
      </c>
      <c r="P191" s="28">
        <f>I191+N191</f>
        <v/>
      </c>
      <c r="Q191" s="36">
        <f>(1+CF_Yield/12)^-A191</f>
        <v/>
      </c>
      <c r="R191" s="28">
        <f>P191*Q191</f>
        <v/>
      </c>
    </row>
    <row r="192">
      <c r="A192" s="26">
        <f>A191+1</f>
        <v/>
      </c>
      <c r="B192" s="28">
        <f>O191</f>
        <v/>
      </c>
      <c r="C192" s="33">
        <f>1-(1-CF_CPR)^(1/12)</f>
        <v/>
      </c>
      <c r="D192" s="33">
        <f>1-(1-CF_CDR)^(1/12)</f>
        <v/>
      </c>
      <c r="E192" s="28">
        <f>B192*D192</f>
        <v/>
      </c>
      <c r="F192" s="28">
        <f>B192-E192</f>
        <v/>
      </c>
      <c r="G192" s="28">
        <f>IF(F192&gt;0.005,PMT(WAC/12,Term-A192+1,-F192),0)</f>
        <v/>
      </c>
      <c r="H192" s="28">
        <f>F192*WAC/12</f>
        <v/>
      </c>
      <c r="I192" s="28">
        <f>F192*(WAC-ServFee)/12</f>
        <v/>
      </c>
      <c r="J192" s="28">
        <f>G192-H192</f>
        <v/>
      </c>
      <c r="K192" s="28">
        <f>(F192-J192)*C192</f>
        <v/>
      </c>
      <c r="L192" s="28">
        <f>E192*Severity</f>
        <v/>
      </c>
      <c r="M192" s="28">
        <f>E192-L192</f>
        <v/>
      </c>
      <c r="N192" s="28">
        <f>J192+K192+M192</f>
        <v/>
      </c>
      <c r="O192" s="28">
        <f>F192-J192-K192</f>
        <v/>
      </c>
      <c r="P192" s="28">
        <f>I192+N192</f>
        <v/>
      </c>
      <c r="Q192" s="36">
        <f>(1+CF_Yield/12)^-A192</f>
        <v/>
      </c>
      <c r="R192" s="28">
        <f>P192*Q192</f>
        <v/>
      </c>
    </row>
    <row r="193">
      <c r="A193" s="26">
        <f>A192+1</f>
        <v/>
      </c>
      <c r="B193" s="28">
        <f>O192</f>
        <v/>
      </c>
      <c r="C193" s="33">
        <f>1-(1-CF_CPR)^(1/12)</f>
        <v/>
      </c>
      <c r="D193" s="33">
        <f>1-(1-CF_CDR)^(1/12)</f>
        <v/>
      </c>
      <c r="E193" s="28">
        <f>B193*D193</f>
        <v/>
      </c>
      <c r="F193" s="28">
        <f>B193-E193</f>
        <v/>
      </c>
      <c r="G193" s="28">
        <f>IF(F193&gt;0.005,PMT(WAC/12,Term-A193+1,-F193),0)</f>
        <v/>
      </c>
      <c r="H193" s="28">
        <f>F193*WAC/12</f>
        <v/>
      </c>
      <c r="I193" s="28">
        <f>F193*(WAC-ServFee)/12</f>
        <v/>
      </c>
      <c r="J193" s="28">
        <f>G193-H193</f>
        <v/>
      </c>
      <c r="K193" s="28">
        <f>(F193-J193)*C193</f>
        <v/>
      </c>
      <c r="L193" s="28">
        <f>E193*Severity</f>
        <v/>
      </c>
      <c r="M193" s="28">
        <f>E193-L193</f>
        <v/>
      </c>
      <c r="N193" s="28">
        <f>J193+K193+M193</f>
        <v/>
      </c>
      <c r="O193" s="28">
        <f>F193-J193-K193</f>
        <v/>
      </c>
      <c r="P193" s="28">
        <f>I193+N193</f>
        <v/>
      </c>
      <c r="Q193" s="36">
        <f>(1+CF_Yield/12)^-A193</f>
        <v/>
      </c>
      <c r="R193" s="28">
        <f>P193*Q193</f>
        <v/>
      </c>
    </row>
    <row r="194">
      <c r="A194" s="26">
        <f>A193+1</f>
        <v/>
      </c>
      <c r="B194" s="28">
        <f>O193</f>
        <v/>
      </c>
      <c r="C194" s="33">
        <f>1-(1-CF_CPR)^(1/12)</f>
        <v/>
      </c>
      <c r="D194" s="33">
        <f>1-(1-CF_CDR)^(1/12)</f>
        <v/>
      </c>
      <c r="E194" s="28">
        <f>B194*D194</f>
        <v/>
      </c>
      <c r="F194" s="28">
        <f>B194-E194</f>
        <v/>
      </c>
      <c r="G194" s="28">
        <f>IF(F194&gt;0.005,PMT(WAC/12,Term-A194+1,-F194),0)</f>
        <v/>
      </c>
      <c r="H194" s="28">
        <f>F194*WAC/12</f>
        <v/>
      </c>
      <c r="I194" s="28">
        <f>F194*(WAC-ServFee)/12</f>
        <v/>
      </c>
      <c r="J194" s="28">
        <f>G194-H194</f>
        <v/>
      </c>
      <c r="K194" s="28">
        <f>(F194-J194)*C194</f>
        <v/>
      </c>
      <c r="L194" s="28">
        <f>E194*Severity</f>
        <v/>
      </c>
      <c r="M194" s="28">
        <f>E194-L194</f>
        <v/>
      </c>
      <c r="N194" s="28">
        <f>J194+K194+M194</f>
        <v/>
      </c>
      <c r="O194" s="28">
        <f>F194-J194-K194</f>
        <v/>
      </c>
      <c r="P194" s="28">
        <f>I194+N194</f>
        <v/>
      </c>
      <c r="Q194" s="36">
        <f>(1+CF_Yield/12)^-A194</f>
        <v/>
      </c>
      <c r="R194" s="28">
        <f>P194*Q194</f>
        <v/>
      </c>
    </row>
    <row r="195">
      <c r="A195" s="26">
        <f>A194+1</f>
        <v/>
      </c>
      <c r="B195" s="28">
        <f>O194</f>
        <v/>
      </c>
      <c r="C195" s="33">
        <f>1-(1-CF_CPR)^(1/12)</f>
        <v/>
      </c>
      <c r="D195" s="33">
        <f>1-(1-CF_CDR)^(1/12)</f>
        <v/>
      </c>
      <c r="E195" s="28">
        <f>B195*D195</f>
        <v/>
      </c>
      <c r="F195" s="28">
        <f>B195-E195</f>
        <v/>
      </c>
      <c r="G195" s="28">
        <f>IF(F195&gt;0.005,PMT(WAC/12,Term-A195+1,-F195),0)</f>
        <v/>
      </c>
      <c r="H195" s="28">
        <f>F195*WAC/12</f>
        <v/>
      </c>
      <c r="I195" s="28">
        <f>F195*(WAC-ServFee)/12</f>
        <v/>
      </c>
      <c r="J195" s="28">
        <f>G195-H195</f>
        <v/>
      </c>
      <c r="K195" s="28">
        <f>(F195-J195)*C195</f>
        <v/>
      </c>
      <c r="L195" s="28">
        <f>E195*Severity</f>
        <v/>
      </c>
      <c r="M195" s="28">
        <f>E195-L195</f>
        <v/>
      </c>
      <c r="N195" s="28">
        <f>J195+K195+M195</f>
        <v/>
      </c>
      <c r="O195" s="28">
        <f>F195-J195-K195</f>
        <v/>
      </c>
      <c r="P195" s="28">
        <f>I195+N195</f>
        <v/>
      </c>
      <c r="Q195" s="36">
        <f>(1+CF_Yield/12)^-A195</f>
        <v/>
      </c>
      <c r="R195" s="28">
        <f>P195*Q195</f>
        <v/>
      </c>
    </row>
    <row r="196">
      <c r="A196" s="26">
        <f>A195+1</f>
        <v/>
      </c>
      <c r="B196" s="28">
        <f>O195</f>
        <v/>
      </c>
      <c r="C196" s="33">
        <f>1-(1-CF_CPR)^(1/12)</f>
        <v/>
      </c>
      <c r="D196" s="33">
        <f>1-(1-CF_CDR)^(1/12)</f>
        <v/>
      </c>
      <c r="E196" s="28">
        <f>B196*D196</f>
        <v/>
      </c>
      <c r="F196" s="28">
        <f>B196-E196</f>
        <v/>
      </c>
      <c r="G196" s="28">
        <f>IF(F196&gt;0.005,PMT(WAC/12,Term-A196+1,-F196),0)</f>
        <v/>
      </c>
      <c r="H196" s="28">
        <f>F196*WAC/12</f>
        <v/>
      </c>
      <c r="I196" s="28">
        <f>F196*(WAC-ServFee)/12</f>
        <v/>
      </c>
      <c r="J196" s="28">
        <f>G196-H196</f>
        <v/>
      </c>
      <c r="K196" s="28">
        <f>(F196-J196)*C196</f>
        <v/>
      </c>
      <c r="L196" s="28">
        <f>E196*Severity</f>
        <v/>
      </c>
      <c r="M196" s="28">
        <f>E196-L196</f>
        <v/>
      </c>
      <c r="N196" s="28">
        <f>J196+K196+M196</f>
        <v/>
      </c>
      <c r="O196" s="28">
        <f>F196-J196-K196</f>
        <v/>
      </c>
      <c r="P196" s="28">
        <f>I196+N196</f>
        <v/>
      </c>
      <c r="Q196" s="36">
        <f>(1+CF_Yield/12)^-A196</f>
        <v/>
      </c>
      <c r="R196" s="28">
        <f>P196*Q196</f>
        <v/>
      </c>
    </row>
    <row r="197">
      <c r="A197" s="26">
        <f>A196+1</f>
        <v/>
      </c>
      <c r="B197" s="28">
        <f>O196</f>
        <v/>
      </c>
      <c r="C197" s="33">
        <f>1-(1-CF_CPR)^(1/12)</f>
        <v/>
      </c>
      <c r="D197" s="33">
        <f>1-(1-CF_CDR)^(1/12)</f>
        <v/>
      </c>
      <c r="E197" s="28">
        <f>B197*D197</f>
        <v/>
      </c>
      <c r="F197" s="28">
        <f>B197-E197</f>
        <v/>
      </c>
      <c r="G197" s="28">
        <f>IF(F197&gt;0.005,PMT(WAC/12,Term-A197+1,-F197),0)</f>
        <v/>
      </c>
      <c r="H197" s="28">
        <f>F197*WAC/12</f>
        <v/>
      </c>
      <c r="I197" s="28">
        <f>F197*(WAC-ServFee)/12</f>
        <v/>
      </c>
      <c r="J197" s="28">
        <f>G197-H197</f>
        <v/>
      </c>
      <c r="K197" s="28">
        <f>(F197-J197)*C197</f>
        <v/>
      </c>
      <c r="L197" s="28">
        <f>E197*Severity</f>
        <v/>
      </c>
      <c r="M197" s="28">
        <f>E197-L197</f>
        <v/>
      </c>
      <c r="N197" s="28">
        <f>J197+K197+M197</f>
        <v/>
      </c>
      <c r="O197" s="28">
        <f>F197-J197-K197</f>
        <v/>
      </c>
      <c r="P197" s="28">
        <f>I197+N197</f>
        <v/>
      </c>
      <c r="Q197" s="36">
        <f>(1+CF_Yield/12)^-A197</f>
        <v/>
      </c>
      <c r="R197" s="28">
        <f>P197*Q197</f>
        <v/>
      </c>
    </row>
    <row r="198">
      <c r="A198" s="26">
        <f>A197+1</f>
        <v/>
      </c>
      <c r="B198" s="28">
        <f>O197</f>
        <v/>
      </c>
      <c r="C198" s="33">
        <f>1-(1-CF_CPR)^(1/12)</f>
        <v/>
      </c>
      <c r="D198" s="33">
        <f>1-(1-CF_CDR)^(1/12)</f>
        <v/>
      </c>
      <c r="E198" s="28">
        <f>B198*D198</f>
        <v/>
      </c>
      <c r="F198" s="28">
        <f>B198-E198</f>
        <v/>
      </c>
      <c r="G198" s="28">
        <f>IF(F198&gt;0.005,PMT(WAC/12,Term-A198+1,-F198),0)</f>
        <v/>
      </c>
      <c r="H198" s="28">
        <f>F198*WAC/12</f>
        <v/>
      </c>
      <c r="I198" s="28">
        <f>F198*(WAC-ServFee)/12</f>
        <v/>
      </c>
      <c r="J198" s="28">
        <f>G198-H198</f>
        <v/>
      </c>
      <c r="K198" s="28">
        <f>(F198-J198)*C198</f>
        <v/>
      </c>
      <c r="L198" s="28">
        <f>E198*Severity</f>
        <v/>
      </c>
      <c r="M198" s="28">
        <f>E198-L198</f>
        <v/>
      </c>
      <c r="N198" s="28">
        <f>J198+K198+M198</f>
        <v/>
      </c>
      <c r="O198" s="28">
        <f>F198-J198-K198</f>
        <v/>
      </c>
      <c r="P198" s="28">
        <f>I198+N198</f>
        <v/>
      </c>
      <c r="Q198" s="36">
        <f>(1+CF_Yield/12)^-A198</f>
        <v/>
      </c>
      <c r="R198" s="28">
        <f>P198*Q198</f>
        <v/>
      </c>
    </row>
    <row r="199">
      <c r="A199" s="26">
        <f>A198+1</f>
        <v/>
      </c>
      <c r="B199" s="28">
        <f>O198</f>
        <v/>
      </c>
      <c r="C199" s="33">
        <f>1-(1-CF_CPR)^(1/12)</f>
        <v/>
      </c>
      <c r="D199" s="33">
        <f>1-(1-CF_CDR)^(1/12)</f>
        <v/>
      </c>
      <c r="E199" s="28">
        <f>B199*D199</f>
        <v/>
      </c>
      <c r="F199" s="28">
        <f>B199-E199</f>
        <v/>
      </c>
      <c r="G199" s="28">
        <f>IF(F199&gt;0.005,PMT(WAC/12,Term-A199+1,-F199),0)</f>
        <v/>
      </c>
      <c r="H199" s="28">
        <f>F199*WAC/12</f>
        <v/>
      </c>
      <c r="I199" s="28">
        <f>F199*(WAC-ServFee)/12</f>
        <v/>
      </c>
      <c r="J199" s="28">
        <f>G199-H199</f>
        <v/>
      </c>
      <c r="K199" s="28">
        <f>(F199-J199)*C199</f>
        <v/>
      </c>
      <c r="L199" s="28">
        <f>E199*Severity</f>
        <v/>
      </c>
      <c r="M199" s="28">
        <f>E199-L199</f>
        <v/>
      </c>
      <c r="N199" s="28">
        <f>J199+K199+M199</f>
        <v/>
      </c>
      <c r="O199" s="28">
        <f>F199-J199-K199</f>
        <v/>
      </c>
      <c r="P199" s="28">
        <f>I199+N199</f>
        <v/>
      </c>
      <c r="Q199" s="36">
        <f>(1+CF_Yield/12)^-A199</f>
        <v/>
      </c>
      <c r="R199" s="28">
        <f>P199*Q199</f>
        <v/>
      </c>
    </row>
    <row r="200">
      <c r="A200" s="26">
        <f>A199+1</f>
        <v/>
      </c>
      <c r="B200" s="28">
        <f>O199</f>
        <v/>
      </c>
      <c r="C200" s="33">
        <f>1-(1-CF_CPR)^(1/12)</f>
        <v/>
      </c>
      <c r="D200" s="33">
        <f>1-(1-CF_CDR)^(1/12)</f>
        <v/>
      </c>
      <c r="E200" s="28">
        <f>B200*D200</f>
        <v/>
      </c>
      <c r="F200" s="28">
        <f>B200-E200</f>
        <v/>
      </c>
      <c r="G200" s="28">
        <f>IF(F200&gt;0.005,PMT(WAC/12,Term-A200+1,-F200),0)</f>
        <v/>
      </c>
      <c r="H200" s="28">
        <f>F200*WAC/12</f>
        <v/>
      </c>
      <c r="I200" s="28">
        <f>F200*(WAC-ServFee)/12</f>
        <v/>
      </c>
      <c r="J200" s="28">
        <f>G200-H200</f>
        <v/>
      </c>
      <c r="K200" s="28">
        <f>(F200-J200)*C200</f>
        <v/>
      </c>
      <c r="L200" s="28">
        <f>E200*Severity</f>
        <v/>
      </c>
      <c r="M200" s="28">
        <f>E200-L200</f>
        <v/>
      </c>
      <c r="N200" s="28">
        <f>J200+K200+M200</f>
        <v/>
      </c>
      <c r="O200" s="28">
        <f>F200-J200-K200</f>
        <v/>
      </c>
      <c r="P200" s="28">
        <f>I200+N200</f>
        <v/>
      </c>
      <c r="Q200" s="36">
        <f>(1+CF_Yield/12)^-A200</f>
        <v/>
      </c>
      <c r="R200" s="28">
        <f>P200*Q200</f>
        <v/>
      </c>
    </row>
    <row r="201">
      <c r="A201" s="26">
        <f>A200+1</f>
        <v/>
      </c>
      <c r="B201" s="28">
        <f>O200</f>
        <v/>
      </c>
      <c r="C201" s="33">
        <f>1-(1-CF_CPR)^(1/12)</f>
        <v/>
      </c>
      <c r="D201" s="33">
        <f>1-(1-CF_CDR)^(1/12)</f>
        <v/>
      </c>
      <c r="E201" s="28">
        <f>B201*D201</f>
        <v/>
      </c>
      <c r="F201" s="28">
        <f>B201-E201</f>
        <v/>
      </c>
      <c r="G201" s="28">
        <f>IF(F201&gt;0.005,PMT(WAC/12,Term-A201+1,-F201),0)</f>
        <v/>
      </c>
      <c r="H201" s="28">
        <f>F201*WAC/12</f>
        <v/>
      </c>
      <c r="I201" s="28">
        <f>F201*(WAC-ServFee)/12</f>
        <v/>
      </c>
      <c r="J201" s="28">
        <f>G201-H201</f>
        <v/>
      </c>
      <c r="K201" s="28">
        <f>(F201-J201)*C201</f>
        <v/>
      </c>
      <c r="L201" s="28">
        <f>E201*Severity</f>
        <v/>
      </c>
      <c r="M201" s="28">
        <f>E201-L201</f>
        <v/>
      </c>
      <c r="N201" s="28">
        <f>J201+K201+M201</f>
        <v/>
      </c>
      <c r="O201" s="28">
        <f>F201-J201-K201</f>
        <v/>
      </c>
      <c r="P201" s="28">
        <f>I201+N201</f>
        <v/>
      </c>
      <c r="Q201" s="36">
        <f>(1+CF_Yield/12)^-A201</f>
        <v/>
      </c>
      <c r="R201" s="28">
        <f>P201*Q201</f>
        <v/>
      </c>
    </row>
    <row r="202">
      <c r="A202" s="26">
        <f>A201+1</f>
        <v/>
      </c>
      <c r="B202" s="28">
        <f>O201</f>
        <v/>
      </c>
      <c r="C202" s="33">
        <f>1-(1-CF_CPR)^(1/12)</f>
        <v/>
      </c>
      <c r="D202" s="33">
        <f>1-(1-CF_CDR)^(1/12)</f>
        <v/>
      </c>
      <c r="E202" s="28">
        <f>B202*D202</f>
        <v/>
      </c>
      <c r="F202" s="28">
        <f>B202-E202</f>
        <v/>
      </c>
      <c r="G202" s="28">
        <f>IF(F202&gt;0.005,PMT(WAC/12,Term-A202+1,-F202),0)</f>
        <v/>
      </c>
      <c r="H202" s="28">
        <f>F202*WAC/12</f>
        <v/>
      </c>
      <c r="I202" s="28">
        <f>F202*(WAC-ServFee)/12</f>
        <v/>
      </c>
      <c r="J202" s="28">
        <f>G202-H202</f>
        <v/>
      </c>
      <c r="K202" s="28">
        <f>(F202-J202)*C202</f>
        <v/>
      </c>
      <c r="L202" s="28">
        <f>E202*Severity</f>
        <v/>
      </c>
      <c r="M202" s="28">
        <f>E202-L202</f>
        <v/>
      </c>
      <c r="N202" s="28">
        <f>J202+K202+M202</f>
        <v/>
      </c>
      <c r="O202" s="28">
        <f>F202-J202-K202</f>
        <v/>
      </c>
      <c r="P202" s="28">
        <f>I202+N202</f>
        <v/>
      </c>
      <c r="Q202" s="36">
        <f>(1+CF_Yield/12)^-A202</f>
        <v/>
      </c>
      <c r="R202" s="28">
        <f>P202*Q202</f>
        <v/>
      </c>
    </row>
    <row r="203">
      <c r="A203" s="26">
        <f>A202+1</f>
        <v/>
      </c>
      <c r="B203" s="28">
        <f>O202</f>
        <v/>
      </c>
      <c r="C203" s="33">
        <f>1-(1-CF_CPR)^(1/12)</f>
        <v/>
      </c>
      <c r="D203" s="33">
        <f>1-(1-CF_CDR)^(1/12)</f>
        <v/>
      </c>
      <c r="E203" s="28">
        <f>B203*D203</f>
        <v/>
      </c>
      <c r="F203" s="28">
        <f>B203-E203</f>
        <v/>
      </c>
      <c r="G203" s="28">
        <f>IF(F203&gt;0.005,PMT(WAC/12,Term-A203+1,-F203),0)</f>
        <v/>
      </c>
      <c r="H203" s="28">
        <f>F203*WAC/12</f>
        <v/>
      </c>
      <c r="I203" s="28">
        <f>F203*(WAC-ServFee)/12</f>
        <v/>
      </c>
      <c r="J203" s="28">
        <f>G203-H203</f>
        <v/>
      </c>
      <c r="K203" s="28">
        <f>(F203-J203)*C203</f>
        <v/>
      </c>
      <c r="L203" s="28">
        <f>E203*Severity</f>
        <v/>
      </c>
      <c r="M203" s="28">
        <f>E203-L203</f>
        <v/>
      </c>
      <c r="N203" s="28">
        <f>J203+K203+M203</f>
        <v/>
      </c>
      <c r="O203" s="28">
        <f>F203-J203-K203</f>
        <v/>
      </c>
      <c r="P203" s="28">
        <f>I203+N203</f>
        <v/>
      </c>
      <c r="Q203" s="36">
        <f>(1+CF_Yield/12)^-A203</f>
        <v/>
      </c>
      <c r="R203" s="28">
        <f>P203*Q203</f>
        <v/>
      </c>
    </row>
    <row r="204">
      <c r="A204" s="26">
        <f>A203+1</f>
        <v/>
      </c>
      <c r="B204" s="28">
        <f>O203</f>
        <v/>
      </c>
      <c r="C204" s="33">
        <f>1-(1-CF_CPR)^(1/12)</f>
        <v/>
      </c>
      <c r="D204" s="33">
        <f>1-(1-CF_CDR)^(1/12)</f>
        <v/>
      </c>
      <c r="E204" s="28">
        <f>B204*D204</f>
        <v/>
      </c>
      <c r="F204" s="28">
        <f>B204-E204</f>
        <v/>
      </c>
      <c r="G204" s="28">
        <f>IF(F204&gt;0.005,PMT(WAC/12,Term-A204+1,-F204),0)</f>
        <v/>
      </c>
      <c r="H204" s="28">
        <f>F204*WAC/12</f>
        <v/>
      </c>
      <c r="I204" s="28">
        <f>F204*(WAC-ServFee)/12</f>
        <v/>
      </c>
      <c r="J204" s="28">
        <f>G204-H204</f>
        <v/>
      </c>
      <c r="K204" s="28">
        <f>(F204-J204)*C204</f>
        <v/>
      </c>
      <c r="L204" s="28">
        <f>E204*Severity</f>
        <v/>
      </c>
      <c r="M204" s="28">
        <f>E204-L204</f>
        <v/>
      </c>
      <c r="N204" s="28">
        <f>J204+K204+M204</f>
        <v/>
      </c>
      <c r="O204" s="28">
        <f>F204-J204-K204</f>
        <v/>
      </c>
      <c r="P204" s="28">
        <f>I204+N204</f>
        <v/>
      </c>
      <c r="Q204" s="36">
        <f>(1+CF_Yield/12)^-A204</f>
        <v/>
      </c>
      <c r="R204" s="28">
        <f>P204*Q204</f>
        <v/>
      </c>
    </row>
    <row r="205">
      <c r="A205" s="26">
        <f>A204+1</f>
        <v/>
      </c>
      <c r="B205" s="28">
        <f>O204</f>
        <v/>
      </c>
      <c r="C205" s="33">
        <f>1-(1-CF_CPR)^(1/12)</f>
        <v/>
      </c>
      <c r="D205" s="33">
        <f>1-(1-CF_CDR)^(1/12)</f>
        <v/>
      </c>
      <c r="E205" s="28">
        <f>B205*D205</f>
        <v/>
      </c>
      <c r="F205" s="28">
        <f>B205-E205</f>
        <v/>
      </c>
      <c r="G205" s="28">
        <f>IF(F205&gt;0.005,PMT(WAC/12,Term-A205+1,-F205),0)</f>
        <v/>
      </c>
      <c r="H205" s="28">
        <f>F205*WAC/12</f>
        <v/>
      </c>
      <c r="I205" s="28">
        <f>F205*(WAC-ServFee)/12</f>
        <v/>
      </c>
      <c r="J205" s="28">
        <f>G205-H205</f>
        <v/>
      </c>
      <c r="K205" s="28">
        <f>(F205-J205)*C205</f>
        <v/>
      </c>
      <c r="L205" s="28">
        <f>E205*Severity</f>
        <v/>
      </c>
      <c r="M205" s="28">
        <f>E205-L205</f>
        <v/>
      </c>
      <c r="N205" s="28">
        <f>J205+K205+M205</f>
        <v/>
      </c>
      <c r="O205" s="28">
        <f>F205-J205-K205</f>
        <v/>
      </c>
      <c r="P205" s="28">
        <f>I205+N205</f>
        <v/>
      </c>
      <c r="Q205" s="36">
        <f>(1+CF_Yield/12)^-A205</f>
        <v/>
      </c>
      <c r="R205" s="28">
        <f>P205*Q205</f>
        <v/>
      </c>
    </row>
    <row r="206">
      <c r="A206" s="26">
        <f>A205+1</f>
        <v/>
      </c>
      <c r="B206" s="28">
        <f>O205</f>
        <v/>
      </c>
      <c r="C206" s="33">
        <f>1-(1-CF_CPR)^(1/12)</f>
        <v/>
      </c>
      <c r="D206" s="33">
        <f>1-(1-CF_CDR)^(1/12)</f>
        <v/>
      </c>
      <c r="E206" s="28">
        <f>B206*D206</f>
        <v/>
      </c>
      <c r="F206" s="28">
        <f>B206-E206</f>
        <v/>
      </c>
      <c r="G206" s="28">
        <f>IF(F206&gt;0.005,PMT(WAC/12,Term-A206+1,-F206),0)</f>
        <v/>
      </c>
      <c r="H206" s="28">
        <f>F206*WAC/12</f>
        <v/>
      </c>
      <c r="I206" s="28">
        <f>F206*(WAC-ServFee)/12</f>
        <v/>
      </c>
      <c r="J206" s="28">
        <f>G206-H206</f>
        <v/>
      </c>
      <c r="K206" s="28">
        <f>(F206-J206)*C206</f>
        <v/>
      </c>
      <c r="L206" s="28">
        <f>E206*Severity</f>
        <v/>
      </c>
      <c r="M206" s="28">
        <f>E206-L206</f>
        <v/>
      </c>
      <c r="N206" s="28">
        <f>J206+K206+M206</f>
        <v/>
      </c>
      <c r="O206" s="28">
        <f>F206-J206-K206</f>
        <v/>
      </c>
      <c r="P206" s="28">
        <f>I206+N206</f>
        <v/>
      </c>
      <c r="Q206" s="36">
        <f>(1+CF_Yield/12)^-A206</f>
        <v/>
      </c>
      <c r="R206" s="28">
        <f>P206*Q206</f>
        <v/>
      </c>
    </row>
    <row r="207">
      <c r="A207" s="26">
        <f>A206+1</f>
        <v/>
      </c>
      <c r="B207" s="28">
        <f>O206</f>
        <v/>
      </c>
      <c r="C207" s="33">
        <f>1-(1-CF_CPR)^(1/12)</f>
        <v/>
      </c>
      <c r="D207" s="33">
        <f>1-(1-CF_CDR)^(1/12)</f>
        <v/>
      </c>
      <c r="E207" s="28">
        <f>B207*D207</f>
        <v/>
      </c>
      <c r="F207" s="28">
        <f>B207-E207</f>
        <v/>
      </c>
      <c r="G207" s="28">
        <f>IF(F207&gt;0.005,PMT(WAC/12,Term-A207+1,-F207),0)</f>
        <v/>
      </c>
      <c r="H207" s="28">
        <f>F207*WAC/12</f>
        <v/>
      </c>
      <c r="I207" s="28">
        <f>F207*(WAC-ServFee)/12</f>
        <v/>
      </c>
      <c r="J207" s="28">
        <f>G207-H207</f>
        <v/>
      </c>
      <c r="K207" s="28">
        <f>(F207-J207)*C207</f>
        <v/>
      </c>
      <c r="L207" s="28">
        <f>E207*Severity</f>
        <v/>
      </c>
      <c r="M207" s="28">
        <f>E207-L207</f>
        <v/>
      </c>
      <c r="N207" s="28">
        <f>J207+K207+M207</f>
        <v/>
      </c>
      <c r="O207" s="28">
        <f>F207-J207-K207</f>
        <v/>
      </c>
      <c r="P207" s="28">
        <f>I207+N207</f>
        <v/>
      </c>
      <c r="Q207" s="36">
        <f>(1+CF_Yield/12)^-A207</f>
        <v/>
      </c>
      <c r="R207" s="28">
        <f>P207*Q207</f>
        <v/>
      </c>
    </row>
    <row r="208">
      <c r="A208" s="26">
        <f>A207+1</f>
        <v/>
      </c>
      <c r="B208" s="28">
        <f>O207</f>
        <v/>
      </c>
      <c r="C208" s="33">
        <f>1-(1-CF_CPR)^(1/12)</f>
        <v/>
      </c>
      <c r="D208" s="33">
        <f>1-(1-CF_CDR)^(1/12)</f>
        <v/>
      </c>
      <c r="E208" s="28">
        <f>B208*D208</f>
        <v/>
      </c>
      <c r="F208" s="28">
        <f>B208-E208</f>
        <v/>
      </c>
      <c r="G208" s="28">
        <f>IF(F208&gt;0.005,PMT(WAC/12,Term-A208+1,-F208),0)</f>
        <v/>
      </c>
      <c r="H208" s="28">
        <f>F208*WAC/12</f>
        <v/>
      </c>
      <c r="I208" s="28">
        <f>F208*(WAC-ServFee)/12</f>
        <v/>
      </c>
      <c r="J208" s="28">
        <f>G208-H208</f>
        <v/>
      </c>
      <c r="K208" s="28">
        <f>(F208-J208)*C208</f>
        <v/>
      </c>
      <c r="L208" s="28">
        <f>E208*Severity</f>
        <v/>
      </c>
      <c r="M208" s="28">
        <f>E208-L208</f>
        <v/>
      </c>
      <c r="N208" s="28">
        <f>J208+K208+M208</f>
        <v/>
      </c>
      <c r="O208" s="28">
        <f>F208-J208-K208</f>
        <v/>
      </c>
      <c r="P208" s="28">
        <f>I208+N208</f>
        <v/>
      </c>
      <c r="Q208" s="36">
        <f>(1+CF_Yield/12)^-A208</f>
        <v/>
      </c>
      <c r="R208" s="28">
        <f>P208*Q208</f>
        <v/>
      </c>
    </row>
    <row r="209">
      <c r="A209" s="26">
        <f>A208+1</f>
        <v/>
      </c>
      <c r="B209" s="28">
        <f>O208</f>
        <v/>
      </c>
      <c r="C209" s="33">
        <f>1-(1-CF_CPR)^(1/12)</f>
        <v/>
      </c>
      <c r="D209" s="33">
        <f>1-(1-CF_CDR)^(1/12)</f>
        <v/>
      </c>
      <c r="E209" s="28">
        <f>B209*D209</f>
        <v/>
      </c>
      <c r="F209" s="28">
        <f>B209-E209</f>
        <v/>
      </c>
      <c r="G209" s="28">
        <f>IF(F209&gt;0.005,PMT(WAC/12,Term-A209+1,-F209),0)</f>
        <v/>
      </c>
      <c r="H209" s="28">
        <f>F209*WAC/12</f>
        <v/>
      </c>
      <c r="I209" s="28">
        <f>F209*(WAC-ServFee)/12</f>
        <v/>
      </c>
      <c r="J209" s="28">
        <f>G209-H209</f>
        <v/>
      </c>
      <c r="K209" s="28">
        <f>(F209-J209)*C209</f>
        <v/>
      </c>
      <c r="L209" s="28">
        <f>E209*Severity</f>
        <v/>
      </c>
      <c r="M209" s="28">
        <f>E209-L209</f>
        <v/>
      </c>
      <c r="N209" s="28">
        <f>J209+K209+M209</f>
        <v/>
      </c>
      <c r="O209" s="28">
        <f>F209-J209-K209</f>
        <v/>
      </c>
      <c r="P209" s="28">
        <f>I209+N209</f>
        <v/>
      </c>
      <c r="Q209" s="36">
        <f>(1+CF_Yield/12)^-A209</f>
        <v/>
      </c>
      <c r="R209" s="28">
        <f>P209*Q209</f>
        <v/>
      </c>
    </row>
    <row r="210">
      <c r="A210" s="26">
        <f>A209+1</f>
        <v/>
      </c>
      <c r="B210" s="28">
        <f>O209</f>
        <v/>
      </c>
      <c r="C210" s="33">
        <f>1-(1-CF_CPR)^(1/12)</f>
        <v/>
      </c>
      <c r="D210" s="33">
        <f>1-(1-CF_CDR)^(1/12)</f>
        <v/>
      </c>
      <c r="E210" s="28">
        <f>B210*D210</f>
        <v/>
      </c>
      <c r="F210" s="28">
        <f>B210-E210</f>
        <v/>
      </c>
      <c r="G210" s="28">
        <f>IF(F210&gt;0.005,PMT(WAC/12,Term-A210+1,-F210),0)</f>
        <v/>
      </c>
      <c r="H210" s="28">
        <f>F210*WAC/12</f>
        <v/>
      </c>
      <c r="I210" s="28">
        <f>F210*(WAC-ServFee)/12</f>
        <v/>
      </c>
      <c r="J210" s="28">
        <f>G210-H210</f>
        <v/>
      </c>
      <c r="K210" s="28">
        <f>(F210-J210)*C210</f>
        <v/>
      </c>
      <c r="L210" s="28">
        <f>E210*Severity</f>
        <v/>
      </c>
      <c r="M210" s="28">
        <f>E210-L210</f>
        <v/>
      </c>
      <c r="N210" s="28">
        <f>J210+K210+M210</f>
        <v/>
      </c>
      <c r="O210" s="28">
        <f>F210-J210-K210</f>
        <v/>
      </c>
      <c r="P210" s="28">
        <f>I210+N210</f>
        <v/>
      </c>
      <c r="Q210" s="36">
        <f>(1+CF_Yield/12)^-A210</f>
        <v/>
      </c>
      <c r="R210" s="28">
        <f>P210*Q210</f>
        <v/>
      </c>
    </row>
    <row r="211">
      <c r="A211" s="26">
        <f>A210+1</f>
        <v/>
      </c>
      <c r="B211" s="28">
        <f>O210</f>
        <v/>
      </c>
      <c r="C211" s="33">
        <f>1-(1-CF_CPR)^(1/12)</f>
        <v/>
      </c>
      <c r="D211" s="33">
        <f>1-(1-CF_CDR)^(1/12)</f>
        <v/>
      </c>
      <c r="E211" s="28">
        <f>B211*D211</f>
        <v/>
      </c>
      <c r="F211" s="28">
        <f>B211-E211</f>
        <v/>
      </c>
      <c r="G211" s="28">
        <f>IF(F211&gt;0.005,PMT(WAC/12,Term-A211+1,-F211),0)</f>
        <v/>
      </c>
      <c r="H211" s="28">
        <f>F211*WAC/12</f>
        <v/>
      </c>
      <c r="I211" s="28">
        <f>F211*(WAC-ServFee)/12</f>
        <v/>
      </c>
      <c r="J211" s="28">
        <f>G211-H211</f>
        <v/>
      </c>
      <c r="K211" s="28">
        <f>(F211-J211)*C211</f>
        <v/>
      </c>
      <c r="L211" s="28">
        <f>E211*Severity</f>
        <v/>
      </c>
      <c r="M211" s="28">
        <f>E211-L211</f>
        <v/>
      </c>
      <c r="N211" s="28">
        <f>J211+K211+M211</f>
        <v/>
      </c>
      <c r="O211" s="28">
        <f>F211-J211-K211</f>
        <v/>
      </c>
      <c r="P211" s="28">
        <f>I211+N211</f>
        <v/>
      </c>
      <c r="Q211" s="36">
        <f>(1+CF_Yield/12)^-A211</f>
        <v/>
      </c>
      <c r="R211" s="28">
        <f>P211*Q211</f>
        <v/>
      </c>
    </row>
    <row r="212">
      <c r="A212" s="26">
        <f>A211+1</f>
        <v/>
      </c>
      <c r="B212" s="28">
        <f>O211</f>
        <v/>
      </c>
      <c r="C212" s="33">
        <f>1-(1-CF_CPR)^(1/12)</f>
        <v/>
      </c>
      <c r="D212" s="33">
        <f>1-(1-CF_CDR)^(1/12)</f>
        <v/>
      </c>
      <c r="E212" s="28">
        <f>B212*D212</f>
        <v/>
      </c>
      <c r="F212" s="28">
        <f>B212-E212</f>
        <v/>
      </c>
      <c r="G212" s="28">
        <f>IF(F212&gt;0.005,PMT(WAC/12,Term-A212+1,-F212),0)</f>
        <v/>
      </c>
      <c r="H212" s="28">
        <f>F212*WAC/12</f>
        <v/>
      </c>
      <c r="I212" s="28">
        <f>F212*(WAC-ServFee)/12</f>
        <v/>
      </c>
      <c r="J212" s="28">
        <f>G212-H212</f>
        <v/>
      </c>
      <c r="K212" s="28">
        <f>(F212-J212)*C212</f>
        <v/>
      </c>
      <c r="L212" s="28">
        <f>E212*Severity</f>
        <v/>
      </c>
      <c r="M212" s="28">
        <f>E212-L212</f>
        <v/>
      </c>
      <c r="N212" s="28">
        <f>J212+K212+M212</f>
        <v/>
      </c>
      <c r="O212" s="28">
        <f>F212-J212-K212</f>
        <v/>
      </c>
      <c r="P212" s="28">
        <f>I212+N212</f>
        <v/>
      </c>
      <c r="Q212" s="36">
        <f>(1+CF_Yield/12)^-A212</f>
        <v/>
      </c>
      <c r="R212" s="28">
        <f>P212*Q212</f>
        <v/>
      </c>
    </row>
    <row r="213">
      <c r="A213" s="26">
        <f>A212+1</f>
        <v/>
      </c>
      <c r="B213" s="28">
        <f>O212</f>
        <v/>
      </c>
      <c r="C213" s="33">
        <f>1-(1-CF_CPR)^(1/12)</f>
        <v/>
      </c>
      <c r="D213" s="33">
        <f>1-(1-CF_CDR)^(1/12)</f>
        <v/>
      </c>
      <c r="E213" s="28">
        <f>B213*D213</f>
        <v/>
      </c>
      <c r="F213" s="28">
        <f>B213-E213</f>
        <v/>
      </c>
      <c r="G213" s="28">
        <f>IF(F213&gt;0.005,PMT(WAC/12,Term-A213+1,-F213),0)</f>
        <v/>
      </c>
      <c r="H213" s="28">
        <f>F213*WAC/12</f>
        <v/>
      </c>
      <c r="I213" s="28">
        <f>F213*(WAC-ServFee)/12</f>
        <v/>
      </c>
      <c r="J213" s="28">
        <f>G213-H213</f>
        <v/>
      </c>
      <c r="K213" s="28">
        <f>(F213-J213)*C213</f>
        <v/>
      </c>
      <c r="L213" s="28">
        <f>E213*Severity</f>
        <v/>
      </c>
      <c r="M213" s="28">
        <f>E213-L213</f>
        <v/>
      </c>
      <c r="N213" s="28">
        <f>J213+K213+M213</f>
        <v/>
      </c>
      <c r="O213" s="28">
        <f>F213-J213-K213</f>
        <v/>
      </c>
      <c r="P213" s="28">
        <f>I213+N213</f>
        <v/>
      </c>
      <c r="Q213" s="36">
        <f>(1+CF_Yield/12)^-A213</f>
        <v/>
      </c>
      <c r="R213" s="28">
        <f>P213*Q213</f>
        <v/>
      </c>
    </row>
    <row r="214">
      <c r="A214" s="26">
        <f>A213+1</f>
        <v/>
      </c>
      <c r="B214" s="28">
        <f>O213</f>
        <v/>
      </c>
      <c r="C214" s="33">
        <f>1-(1-CF_CPR)^(1/12)</f>
        <v/>
      </c>
      <c r="D214" s="33">
        <f>1-(1-CF_CDR)^(1/12)</f>
        <v/>
      </c>
      <c r="E214" s="28">
        <f>B214*D214</f>
        <v/>
      </c>
      <c r="F214" s="28">
        <f>B214-E214</f>
        <v/>
      </c>
      <c r="G214" s="28">
        <f>IF(F214&gt;0.005,PMT(WAC/12,Term-A214+1,-F214),0)</f>
        <v/>
      </c>
      <c r="H214" s="28">
        <f>F214*WAC/12</f>
        <v/>
      </c>
      <c r="I214" s="28">
        <f>F214*(WAC-ServFee)/12</f>
        <v/>
      </c>
      <c r="J214" s="28">
        <f>G214-H214</f>
        <v/>
      </c>
      <c r="K214" s="28">
        <f>(F214-J214)*C214</f>
        <v/>
      </c>
      <c r="L214" s="28">
        <f>E214*Severity</f>
        <v/>
      </c>
      <c r="M214" s="28">
        <f>E214-L214</f>
        <v/>
      </c>
      <c r="N214" s="28">
        <f>J214+K214+M214</f>
        <v/>
      </c>
      <c r="O214" s="28">
        <f>F214-J214-K214</f>
        <v/>
      </c>
      <c r="P214" s="28">
        <f>I214+N214</f>
        <v/>
      </c>
      <c r="Q214" s="36">
        <f>(1+CF_Yield/12)^-A214</f>
        <v/>
      </c>
      <c r="R214" s="28">
        <f>P214*Q214</f>
        <v/>
      </c>
    </row>
    <row r="215">
      <c r="A215" s="26">
        <f>A214+1</f>
        <v/>
      </c>
      <c r="B215" s="28">
        <f>O214</f>
        <v/>
      </c>
      <c r="C215" s="33">
        <f>1-(1-CF_CPR)^(1/12)</f>
        <v/>
      </c>
      <c r="D215" s="33">
        <f>1-(1-CF_CDR)^(1/12)</f>
        <v/>
      </c>
      <c r="E215" s="28">
        <f>B215*D215</f>
        <v/>
      </c>
      <c r="F215" s="28">
        <f>B215-E215</f>
        <v/>
      </c>
      <c r="G215" s="28">
        <f>IF(F215&gt;0.005,PMT(WAC/12,Term-A215+1,-F215),0)</f>
        <v/>
      </c>
      <c r="H215" s="28">
        <f>F215*WAC/12</f>
        <v/>
      </c>
      <c r="I215" s="28">
        <f>F215*(WAC-ServFee)/12</f>
        <v/>
      </c>
      <c r="J215" s="28">
        <f>G215-H215</f>
        <v/>
      </c>
      <c r="K215" s="28">
        <f>(F215-J215)*C215</f>
        <v/>
      </c>
      <c r="L215" s="28">
        <f>E215*Severity</f>
        <v/>
      </c>
      <c r="M215" s="28">
        <f>E215-L215</f>
        <v/>
      </c>
      <c r="N215" s="28">
        <f>J215+K215+M215</f>
        <v/>
      </c>
      <c r="O215" s="28">
        <f>F215-J215-K215</f>
        <v/>
      </c>
      <c r="P215" s="28">
        <f>I215+N215</f>
        <v/>
      </c>
      <c r="Q215" s="36">
        <f>(1+CF_Yield/12)^-A215</f>
        <v/>
      </c>
      <c r="R215" s="28">
        <f>P215*Q215</f>
        <v/>
      </c>
    </row>
    <row r="216">
      <c r="A216" s="26">
        <f>A215+1</f>
        <v/>
      </c>
      <c r="B216" s="28">
        <f>O215</f>
        <v/>
      </c>
      <c r="C216" s="33">
        <f>1-(1-CF_CPR)^(1/12)</f>
        <v/>
      </c>
      <c r="D216" s="33">
        <f>1-(1-CF_CDR)^(1/12)</f>
        <v/>
      </c>
      <c r="E216" s="28">
        <f>B216*D216</f>
        <v/>
      </c>
      <c r="F216" s="28">
        <f>B216-E216</f>
        <v/>
      </c>
      <c r="G216" s="28">
        <f>IF(F216&gt;0.005,PMT(WAC/12,Term-A216+1,-F216),0)</f>
        <v/>
      </c>
      <c r="H216" s="28">
        <f>F216*WAC/12</f>
        <v/>
      </c>
      <c r="I216" s="28">
        <f>F216*(WAC-ServFee)/12</f>
        <v/>
      </c>
      <c r="J216" s="28">
        <f>G216-H216</f>
        <v/>
      </c>
      <c r="K216" s="28">
        <f>(F216-J216)*C216</f>
        <v/>
      </c>
      <c r="L216" s="28">
        <f>E216*Severity</f>
        <v/>
      </c>
      <c r="M216" s="28">
        <f>E216-L216</f>
        <v/>
      </c>
      <c r="N216" s="28">
        <f>J216+K216+M216</f>
        <v/>
      </c>
      <c r="O216" s="28">
        <f>F216-J216-K216</f>
        <v/>
      </c>
      <c r="P216" s="28">
        <f>I216+N216</f>
        <v/>
      </c>
      <c r="Q216" s="36">
        <f>(1+CF_Yield/12)^-A216</f>
        <v/>
      </c>
      <c r="R216" s="28">
        <f>P216*Q216</f>
        <v/>
      </c>
    </row>
    <row r="217">
      <c r="A217" s="26">
        <f>A216+1</f>
        <v/>
      </c>
      <c r="B217" s="28">
        <f>O216</f>
        <v/>
      </c>
      <c r="C217" s="33">
        <f>1-(1-CF_CPR)^(1/12)</f>
        <v/>
      </c>
      <c r="D217" s="33">
        <f>1-(1-CF_CDR)^(1/12)</f>
        <v/>
      </c>
      <c r="E217" s="28">
        <f>B217*D217</f>
        <v/>
      </c>
      <c r="F217" s="28">
        <f>B217-E217</f>
        <v/>
      </c>
      <c r="G217" s="28">
        <f>IF(F217&gt;0.005,PMT(WAC/12,Term-A217+1,-F217),0)</f>
        <v/>
      </c>
      <c r="H217" s="28">
        <f>F217*WAC/12</f>
        <v/>
      </c>
      <c r="I217" s="28">
        <f>F217*(WAC-ServFee)/12</f>
        <v/>
      </c>
      <c r="J217" s="28">
        <f>G217-H217</f>
        <v/>
      </c>
      <c r="K217" s="28">
        <f>(F217-J217)*C217</f>
        <v/>
      </c>
      <c r="L217" s="28">
        <f>E217*Severity</f>
        <v/>
      </c>
      <c r="M217" s="28">
        <f>E217-L217</f>
        <v/>
      </c>
      <c r="N217" s="28">
        <f>J217+K217+M217</f>
        <v/>
      </c>
      <c r="O217" s="28">
        <f>F217-J217-K217</f>
        <v/>
      </c>
      <c r="P217" s="28">
        <f>I217+N217</f>
        <v/>
      </c>
      <c r="Q217" s="36">
        <f>(1+CF_Yield/12)^-A217</f>
        <v/>
      </c>
      <c r="R217" s="28">
        <f>P217*Q217</f>
        <v/>
      </c>
    </row>
    <row r="218">
      <c r="A218" s="26">
        <f>A217+1</f>
        <v/>
      </c>
      <c r="B218" s="28">
        <f>O217</f>
        <v/>
      </c>
      <c r="C218" s="33">
        <f>1-(1-CF_CPR)^(1/12)</f>
        <v/>
      </c>
      <c r="D218" s="33">
        <f>1-(1-CF_CDR)^(1/12)</f>
        <v/>
      </c>
      <c r="E218" s="28">
        <f>B218*D218</f>
        <v/>
      </c>
      <c r="F218" s="28">
        <f>B218-E218</f>
        <v/>
      </c>
      <c r="G218" s="28">
        <f>IF(F218&gt;0.005,PMT(WAC/12,Term-A218+1,-F218),0)</f>
        <v/>
      </c>
      <c r="H218" s="28">
        <f>F218*WAC/12</f>
        <v/>
      </c>
      <c r="I218" s="28">
        <f>F218*(WAC-ServFee)/12</f>
        <v/>
      </c>
      <c r="J218" s="28">
        <f>G218-H218</f>
        <v/>
      </c>
      <c r="K218" s="28">
        <f>(F218-J218)*C218</f>
        <v/>
      </c>
      <c r="L218" s="28">
        <f>E218*Severity</f>
        <v/>
      </c>
      <c r="M218" s="28">
        <f>E218-L218</f>
        <v/>
      </c>
      <c r="N218" s="28">
        <f>J218+K218+M218</f>
        <v/>
      </c>
      <c r="O218" s="28">
        <f>F218-J218-K218</f>
        <v/>
      </c>
      <c r="P218" s="28">
        <f>I218+N218</f>
        <v/>
      </c>
      <c r="Q218" s="36">
        <f>(1+CF_Yield/12)^-A218</f>
        <v/>
      </c>
      <c r="R218" s="28">
        <f>P218*Q218</f>
        <v/>
      </c>
    </row>
    <row r="219">
      <c r="A219" s="26">
        <f>A218+1</f>
        <v/>
      </c>
      <c r="B219" s="28">
        <f>O218</f>
        <v/>
      </c>
      <c r="C219" s="33">
        <f>1-(1-CF_CPR)^(1/12)</f>
        <v/>
      </c>
      <c r="D219" s="33">
        <f>1-(1-CF_CDR)^(1/12)</f>
        <v/>
      </c>
      <c r="E219" s="28">
        <f>B219*D219</f>
        <v/>
      </c>
      <c r="F219" s="28">
        <f>B219-E219</f>
        <v/>
      </c>
      <c r="G219" s="28">
        <f>IF(F219&gt;0.005,PMT(WAC/12,Term-A219+1,-F219),0)</f>
        <v/>
      </c>
      <c r="H219" s="28">
        <f>F219*WAC/12</f>
        <v/>
      </c>
      <c r="I219" s="28">
        <f>F219*(WAC-ServFee)/12</f>
        <v/>
      </c>
      <c r="J219" s="28">
        <f>G219-H219</f>
        <v/>
      </c>
      <c r="K219" s="28">
        <f>(F219-J219)*C219</f>
        <v/>
      </c>
      <c r="L219" s="28">
        <f>E219*Severity</f>
        <v/>
      </c>
      <c r="M219" s="28">
        <f>E219-L219</f>
        <v/>
      </c>
      <c r="N219" s="28">
        <f>J219+K219+M219</f>
        <v/>
      </c>
      <c r="O219" s="28">
        <f>F219-J219-K219</f>
        <v/>
      </c>
      <c r="P219" s="28">
        <f>I219+N219</f>
        <v/>
      </c>
      <c r="Q219" s="36">
        <f>(1+CF_Yield/12)^-A219</f>
        <v/>
      </c>
      <c r="R219" s="28">
        <f>P219*Q219</f>
        <v/>
      </c>
    </row>
    <row r="220">
      <c r="A220" s="26">
        <f>A219+1</f>
        <v/>
      </c>
      <c r="B220" s="28">
        <f>O219</f>
        <v/>
      </c>
      <c r="C220" s="33">
        <f>1-(1-CF_CPR)^(1/12)</f>
        <v/>
      </c>
      <c r="D220" s="33">
        <f>1-(1-CF_CDR)^(1/12)</f>
        <v/>
      </c>
      <c r="E220" s="28">
        <f>B220*D220</f>
        <v/>
      </c>
      <c r="F220" s="28">
        <f>B220-E220</f>
        <v/>
      </c>
      <c r="G220" s="28">
        <f>IF(F220&gt;0.005,PMT(WAC/12,Term-A220+1,-F220),0)</f>
        <v/>
      </c>
      <c r="H220" s="28">
        <f>F220*WAC/12</f>
        <v/>
      </c>
      <c r="I220" s="28">
        <f>F220*(WAC-ServFee)/12</f>
        <v/>
      </c>
      <c r="J220" s="28">
        <f>G220-H220</f>
        <v/>
      </c>
      <c r="K220" s="28">
        <f>(F220-J220)*C220</f>
        <v/>
      </c>
      <c r="L220" s="28">
        <f>E220*Severity</f>
        <v/>
      </c>
      <c r="M220" s="28">
        <f>E220-L220</f>
        <v/>
      </c>
      <c r="N220" s="28">
        <f>J220+K220+M220</f>
        <v/>
      </c>
      <c r="O220" s="28">
        <f>F220-J220-K220</f>
        <v/>
      </c>
      <c r="P220" s="28">
        <f>I220+N220</f>
        <v/>
      </c>
      <c r="Q220" s="36">
        <f>(1+CF_Yield/12)^-A220</f>
        <v/>
      </c>
      <c r="R220" s="28">
        <f>P220*Q220</f>
        <v/>
      </c>
    </row>
    <row r="221">
      <c r="A221" s="26">
        <f>A220+1</f>
        <v/>
      </c>
      <c r="B221" s="28">
        <f>O220</f>
        <v/>
      </c>
      <c r="C221" s="33">
        <f>1-(1-CF_CPR)^(1/12)</f>
        <v/>
      </c>
      <c r="D221" s="33">
        <f>1-(1-CF_CDR)^(1/12)</f>
        <v/>
      </c>
      <c r="E221" s="28">
        <f>B221*D221</f>
        <v/>
      </c>
      <c r="F221" s="28">
        <f>B221-E221</f>
        <v/>
      </c>
      <c r="G221" s="28">
        <f>IF(F221&gt;0.005,PMT(WAC/12,Term-A221+1,-F221),0)</f>
        <v/>
      </c>
      <c r="H221" s="28">
        <f>F221*WAC/12</f>
        <v/>
      </c>
      <c r="I221" s="28">
        <f>F221*(WAC-ServFee)/12</f>
        <v/>
      </c>
      <c r="J221" s="28">
        <f>G221-H221</f>
        <v/>
      </c>
      <c r="K221" s="28">
        <f>(F221-J221)*C221</f>
        <v/>
      </c>
      <c r="L221" s="28">
        <f>E221*Severity</f>
        <v/>
      </c>
      <c r="M221" s="28">
        <f>E221-L221</f>
        <v/>
      </c>
      <c r="N221" s="28">
        <f>J221+K221+M221</f>
        <v/>
      </c>
      <c r="O221" s="28">
        <f>F221-J221-K221</f>
        <v/>
      </c>
      <c r="P221" s="28">
        <f>I221+N221</f>
        <v/>
      </c>
      <c r="Q221" s="36">
        <f>(1+CF_Yield/12)^-A221</f>
        <v/>
      </c>
      <c r="R221" s="28">
        <f>P221*Q221</f>
        <v/>
      </c>
    </row>
    <row r="222">
      <c r="A222" s="26">
        <f>A221+1</f>
        <v/>
      </c>
      <c r="B222" s="28">
        <f>O221</f>
        <v/>
      </c>
      <c r="C222" s="33">
        <f>1-(1-CF_CPR)^(1/12)</f>
        <v/>
      </c>
      <c r="D222" s="33">
        <f>1-(1-CF_CDR)^(1/12)</f>
        <v/>
      </c>
      <c r="E222" s="28">
        <f>B222*D222</f>
        <v/>
      </c>
      <c r="F222" s="28">
        <f>B222-E222</f>
        <v/>
      </c>
      <c r="G222" s="28">
        <f>IF(F222&gt;0.005,PMT(WAC/12,Term-A222+1,-F222),0)</f>
        <v/>
      </c>
      <c r="H222" s="28">
        <f>F222*WAC/12</f>
        <v/>
      </c>
      <c r="I222" s="28">
        <f>F222*(WAC-ServFee)/12</f>
        <v/>
      </c>
      <c r="J222" s="28">
        <f>G222-H222</f>
        <v/>
      </c>
      <c r="K222" s="28">
        <f>(F222-J222)*C222</f>
        <v/>
      </c>
      <c r="L222" s="28">
        <f>E222*Severity</f>
        <v/>
      </c>
      <c r="M222" s="28">
        <f>E222-L222</f>
        <v/>
      </c>
      <c r="N222" s="28">
        <f>J222+K222+M222</f>
        <v/>
      </c>
      <c r="O222" s="28">
        <f>F222-J222-K222</f>
        <v/>
      </c>
      <c r="P222" s="28">
        <f>I222+N222</f>
        <v/>
      </c>
      <c r="Q222" s="36">
        <f>(1+CF_Yield/12)^-A222</f>
        <v/>
      </c>
      <c r="R222" s="28">
        <f>P222*Q222</f>
        <v/>
      </c>
    </row>
    <row r="223">
      <c r="A223" s="26">
        <f>A222+1</f>
        <v/>
      </c>
      <c r="B223" s="28">
        <f>O222</f>
        <v/>
      </c>
      <c r="C223" s="33">
        <f>1-(1-CF_CPR)^(1/12)</f>
        <v/>
      </c>
      <c r="D223" s="33">
        <f>1-(1-CF_CDR)^(1/12)</f>
        <v/>
      </c>
      <c r="E223" s="28">
        <f>B223*D223</f>
        <v/>
      </c>
      <c r="F223" s="28">
        <f>B223-E223</f>
        <v/>
      </c>
      <c r="G223" s="28">
        <f>IF(F223&gt;0.005,PMT(WAC/12,Term-A223+1,-F223),0)</f>
        <v/>
      </c>
      <c r="H223" s="28">
        <f>F223*WAC/12</f>
        <v/>
      </c>
      <c r="I223" s="28">
        <f>F223*(WAC-ServFee)/12</f>
        <v/>
      </c>
      <c r="J223" s="28">
        <f>G223-H223</f>
        <v/>
      </c>
      <c r="K223" s="28">
        <f>(F223-J223)*C223</f>
        <v/>
      </c>
      <c r="L223" s="28">
        <f>E223*Severity</f>
        <v/>
      </c>
      <c r="M223" s="28">
        <f>E223-L223</f>
        <v/>
      </c>
      <c r="N223" s="28">
        <f>J223+K223+M223</f>
        <v/>
      </c>
      <c r="O223" s="28">
        <f>F223-J223-K223</f>
        <v/>
      </c>
      <c r="P223" s="28">
        <f>I223+N223</f>
        <v/>
      </c>
      <c r="Q223" s="36">
        <f>(1+CF_Yield/12)^-A223</f>
        <v/>
      </c>
      <c r="R223" s="28">
        <f>P223*Q223</f>
        <v/>
      </c>
    </row>
    <row r="224">
      <c r="A224" s="26">
        <f>A223+1</f>
        <v/>
      </c>
      <c r="B224" s="28">
        <f>O223</f>
        <v/>
      </c>
      <c r="C224" s="33">
        <f>1-(1-CF_CPR)^(1/12)</f>
        <v/>
      </c>
      <c r="D224" s="33">
        <f>1-(1-CF_CDR)^(1/12)</f>
        <v/>
      </c>
      <c r="E224" s="28">
        <f>B224*D224</f>
        <v/>
      </c>
      <c r="F224" s="28">
        <f>B224-E224</f>
        <v/>
      </c>
      <c r="G224" s="28">
        <f>IF(F224&gt;0.005,PMT(WAC/12,Term-A224+1,-F224),0)</f>
        <v/>
      </c>
      <c r="H224" s="28">
        <f>F224*WAC/12</f>
        <v/>
      </c>
      <c r="I224" s="28">
        <f>F224*(WAC-ServFee)/12</f>
        <v/>
      </c>
      <c r="J224" s="28">
        <f>G224-H224</f>
        <v/>
      </c>
      <c r="K224" s="28">
        <f>(F224-J224)*C224</f>
        <v/>
      </c>
      <c r="L224" s="28">
        <f>E224*Severity</f>
        <v/>
      </c>
      <c r="M224" s="28">
        <f>E224-L224</f>
        <v/>
      </c>
      <c r="N224" s="28">
        <f>J224+K224+M224</f>
        <v/>
      </c>
      <c r="O224" s="28">
        <f>F224-J224-K224</f>
        <v/>
      </c>
      <c r="P224" s="28">
        <f>I224+N224</f>
        <v/>
      </c>
      <c r="Q224" s="36">
        <f>(1+CF_Yield/12)^-A224</f>
        <v/>
      </c>
      <c r="R224" s="28">
        <f>P224*Q224</f>
        <v/>
      </c>
    </row>
    <row r="225">
      <c r="A225" s="26">
        <f>A224+1</f>
        <v/>
      </c>
      <c r="B225" s="28">
        <f>O224</f>
        <v/>
      </c>
      <c r="C225" s="33">
        <f>1-(1-CF_CPR)^(1/12)</f>
        <v/>
      </c>
      <c r="D225" s="33">
        <f>1-(1-CF_CDR)^(1/12)</f>
        <v/>
      </c>
      <c r="E225" s="28">
        <f>B225*D225</f>
        <v/>
      </c>
      <c r="F225" s="28">
        <f>B225-E225</f>
        <v/>
      </c>
      <c r="G225" s="28">
        <f>IF(F225&gt;0.005,PMT(WAC/12,Term-A225+1,-F225),0)</f>
        <v/>
      </c>
      <c r="H225" s="28">
        <f>F225*WAC/12</f>
        <v/>
      </c>
      <c r="I225" s="28">
        <f>F225*(WAC-ServFee)/12</f>
        <v/>
      </c>
      <c r="J225" s="28">
        <f>G225-H225</f>
        <v/>
      </c>
      <c r="K225" s="28">
        <f>(F225-J225)*C225</f>
        <v/>
      </c>
      <c r="L225" s="28">
        <f>E225*Severity</f>
        <v/>
      </c>
      <c r="M225" s="28">
        <f>E225-L225</f>
        <v/>
      </c>
      <c r="N225" s="28">
        <f>J225+K225+M225</f>
        <v/>
      </c>
      <c r="O225" s="28">
        <f>F225-J225-K225</f>
        <v/>
      </c>
      <c r="P225" s="28">
        <f>I225+N225</f>
        <v/>
      </c>
      <c r="Q225" s="36">
        <f>(1+CF_Yield/12)^-A225</f>
        <v/>
      </c>
      <c r="R225" s="28">
        <f>P225*Q225</f>
        <v/>
      </c>
    </row>
    <row r="226">
      <c r="A226" s="26">
        <f>A225+1</f>
        <v/>
      </c>
      <c r="B226" s="28">
        <f>O225</f>
        <v/>
      </c>
      <c r="C226" s="33">
        <f>1-(1-CF_CPR)^(1/12)</f>
        <v/>
      </c>
      <c r="D226" s="33">
        <f>1-(1-CF_CDR)^(1/12)</f>
        <v/>
      </c>
      <c r="E226" s="28">
        <f>B226*D226</f>
        <v/>
      </c>
      <c r="F226" s="28">
        <f>B226-E226</f>
        <v/>
      </c>
      <c r="G226" s="28">
        <f>IF(F226&gt;0.005,PMT(WAC/12,Term-A226+1,-F226),0)</f>
        <v/>
      </c>
      <c r="H226" s="28">
        <f>F226*WAC/12</f>
        <v/>
      </c>
      <c r="I226" s="28">
        <f>F226*(WAC-ServFee)/12</f>
        <v/>
      </c>
      <c r="J226" s="28">
        <f>G226-H226</f>
        <v/>
      </c>
      <c r="K226" s="28">
        <f>(F226-J226)*C226</f>
        <v/>
      </c>
      <c r="L226" s="28">
        <f>E226*Severity</f>
        <v/>
      </c>
      <c r="M226" s="28">
        <f>E226-L226</f>
        <v/>
      </c>
      <c r="N226" s="28">
        <f>J226+K226+M226</f>
        <v/>
      </c>
      <c r="O226" s="28">
        <f>F226-J226-K226</f>
        <v/>
      </c>
      <c r="P226" s="28">
        <f>I226+N226</f>
        <v/>
      </c>
      <c r="Q226" s="36">
        <f>(1+CF_Yield/12)^-A226</f>
        <v/>
      </c>
      <c r="R226" s="28">
        <f>P226*Q226</f>
        <v/>
      </c>
    </row>
    <row r="227">
      <c r="A227" s="26">
        <f>A226+1</f>
        <v/>
      </c>
      <c r="B227" s="28">
        <f>O226</f>
        <v/>
      </c>
      <c r="C227" s="33">
        <f>1-(1-CF_CPR)^(1/12)</f>
        <v/>
      </c>
      <c r="D227" s="33">
        <f>1-(1-CF_CDR)^(1/12)</f>
        <v/>
      </c>
      <c r="E227" s="28">
        <f>B227*D227</f>
        <v/>
      </c>
      <c r="F227" s="28">
        <f>B227-E227</f>
        <v/>
      </c>
      <c r="G227" s="28">
        <f>IF(F227&gt;0.005,PMT(WAC/12,Term-A227+1,-F227),0)</f>
        <v/>
      </c>
      <c r="H227" s="28">
        <f>F227*WAC/12</f>
        <v/>
      </c>
      <c r="I227" s="28">
        <f>F227*(WAC-ServFee)/12</f>
        <v/>
      </c>
      <c r="J227" s="28">
        <f>G227-H227</f>
        <v/>
      </c>
      <c r="K227" s="28">
        <f>(F227-J227)*C227</f>
        <v/>
      </c>
      <c r="L227" s="28">
        <f>E227*Severity</f>
        <v/>
      </c>
      <c r="M227" s="28">
        <f>E227-L227</f>
        <v/>
      </c>
      <c r="N227" s="28">
        <f>J227+K227+M227</f>
        <v/>
      </c>
      <c r="O227" s="28">
        <f>F227-J227-K227</f>
        <v/>
      </c>
      <c r="P227" s="28">
        <f>I227+N227</f>
        <v/>
      </c>
      <c r="Q227" s="36">
        <f>(1+CF_Yield/12)^-A227</f>
        <v/>
      </c>
      <c r="R227" s="28">
        <f>P227*Q227</f>
        <v/>
      </c>
    </row>
    <row r="228">
      <c r="A228" s="26">
        <f>A227+1</f>
        <v/>
      </c>
      <c r="B228" s="28">
        <f>O227</f>
        <v/>
      </c>
      <c r="C228" s="33">
        <f>1-(1-CF_CPR)^(1/12)</f>
        <v/>
      </c>
      <c r="D228" s="33">
        <f>1-(1-CF_CDR)^(1/12)</f>
        <v/>
      </c>
      <c r="E228" s="28">
        <f>B228*D228</f>
        <v/>
      </c>
      <c r="F228" s="28">
        <f>B228-E228</f>
        <v/>
      </c>
      <c r="G228" s="28">
        <f>IF(F228&gt;0.005,PMT(WAC/12,Term-A228+1,-F228),0)</f>
        <v/>
      </c>
      <c r="H228" s="28">
        <f>F228*WAC/12</f>
        <v/>
      </c>
      <c r="I228" s="28">
        <f>F228*(WAC-ServFee)/12</f>
        <v/>
      </c>
      <c r="J228" s="28">
        <f>G228-H228</f>
        <v/>
      </c>
      <c r="K228" s="28">
        <f>(F228-J228)*C228</f>
        <v/>
      </c>
      <c r="L228" s="28">
        <f>E228*Severity</f>
        <v/>
      </c>
      <c r="M228" s="28">
        <f>E228-L228</f>
        <v/>
      </c>
      <c r="N228" s="28">
        <f>J228+K228+M228</f>
        <v/>
      </c>
      <c r="O228" s="28">
        <f>F228-J228-K228</f>
        <v/>
      </c>
      <c r="P228" s="28">
        <f>I228+N228</f>
        <v/>
      </c>
      <c r="Q228" s="36">
        <f>(1+CF_Yield/12)^-A228</f>
        <v/>
      </c>
      <c r="R228" s="28">
        <f>P228*Q228</f>
        <v/>
      </c>
    </row>
    <row r="229">
      <c r="A229" s="26">
        <f>A228+1</f>
        <v/>
      </c>
      <c r="B229" s="28">
        <f>O228</f>
        <v/>
      </c>
      <c r="C229" s="33">
        <f>1-(1-CF_CPR)^(1/12)</f>
        <v/>
      </c>
      <c r="D229" s="33">
        <f>1-(1-CF_CDR)^(1/12)</f>
        <v/>
      </c>
      <c r="E229" s="28">
        <f>B229*D229</f>
        <v/>
      </c>
      <c r="F229" s="28">
        <f>B229-E229</f>
        <v/>
      </c>
      <c r="G229" s="28">
        <f>IF(F229&gt;0.005,PMT(WAC/12,Term-A229+1,-F229),0)</f>
        <v/>
      </c>
      <c r="H229" s="28">
        <f>F229*WAC/12</f>
        <v/>
      </c>
      <c r="I229" s="28">
        <f>F229*(WAC-ServFee)/12</f>
        <v/>
      </c>
      <c r="J229" s="28">
        <f>G229-H229</f>
        <v/>
      </c>
      <c r="K229" s="28">
        <f>(F229-J229)*C229</f>
        <v/>
      </c>
      <c r="L229" s="28">
        <f>E229*Severity</f>
        <v/>
      </c>
      <c r="M229" s="28">
        <f>E229-L229</f>
        <v/>
      </c>
      <c r="N229" s="28">
        <f>J229+K229+M229</f>
        <v/>
      </c>
      <c r="O229" s="28">
        <f>F229-J229-K229</f>
        <v/>
      </c>
      <c r="P229" s="28">
        <f>I229+N229</f>
        <v/>
      </c>
      <c r="Q229" s="36">
        <f>(1+CF_Yield/12)^-A229</f>
        <v/>
      </c>
      <c r="R229" s="28">
        <f>P229*Q229</f>
        <v/>
      </c>
    </row>
    <row r="230">
      <c r="A230" s="26">
        <f>A229+1</f>
        <v/>
      </c>
      <c r="B230" s="28">
        <f>O229</f>
        <v/>
      </c>
      <c r="C230" s="33">
        <f>1-(1-CF_CPR)^(1/12)</f>
        <v/>
      </c>
      <c r="D230" s="33">
        <f>1-(1-CF_CDR)^(1/12)</f>
        <v/>
      </c>
      <c r="E230" s="28">
        <f>B230*D230</f>
        <v/>
      </c>
      <c r="F230" s="28">
        <f>B230-E230</f>
        <v/>
      </c>
      <c r="G230" s="28">
        <f>IF(F230&gt;0.005,PMT(WAC/12,Term-A230+1,-F230),0)</f>
        <v/>
      </c>
      <c r="H230" s="28">
        <f>F230*WAC/12</f>
        <v/>
      </c>
      <c r="I230" s="28">
        <f>F230*(WAC-ServFee)/12</f>
        <v/>
      </c>
      <c r="J230" s="28">
        <f>G230-H230</f>
        <v/>
      </c>
      <c r="K230" s="28">
        <f>(F230-J230)*C230</f>
        <v/>
      </c>
      <c r="L230" s="28">
        <f>E230*Severity</f>
        <v/>
      </c>
      <c r="M230" s="28">
        <f>E230-L230</f>
        <v/>
      </c>
      <c r="N230" s="28">
        <f>J230+K230+M230</f>
        <v/>
      </c>
      <c r="O230" s="28">
        <f>F230-J230-K230</f>
        <v/>
      </c>
      <c r="P230" s="28">
        <f>I230+N230</f>
        <v/>
      </c>
      <c r="Q230" s="36">
        <f>(1+CF_Yield/12)^-A230</f>
        <v/>
      </c>
      <c r="R230" s="28">
        <f>P230*Q230</f>
        <v/>
      </c>
    </row>
    <row r="231">
      <c r="A231" s="26">
        <f>A230+1</f>
        <v/>
      </c>
      <c r="B231" s="28">
        <f>O230</f>
        <v/>
      </c>
      <c r="C231" s="33">
        <f>1-(1-CF_CPR)^(1/12)</f>
        <v/>
      </c>
      <c r="D231" s="33">
        <f>1-(1-CF_CDR)^(1/12)</f>
        <v/>
      </c>
      <c r="E231" s="28">
        <f>B231*D231</f>
        <v/>
      </c>
      <c r="F231" s="28">
        <f>B231-E231</f>
        <v/>
      </c>
      <c r="G231" s="28">
        <f>IF(F231&gt;0.005,PMT(WAC/12,Term-A231+1,-F231),0)</f>
        <v/>
      </c>
      <c r="H231" s="28">
        <f>F231*WAC/12</f>
        <v/>
      </c>
      <c r="I231" s="28">
        <f>F231*(WAC-ServFee)/12</f>
        <v/>
      </c>
      <c r="J231" s="28">
        <f>G231-H231</f>
        <v/>
      </c>
      <c r="K231" s="28">
        <f>(F231-J231)*C231</f>
        <v/>
      </c>
      <c r="L231" s="28">
        <f>E231*Severity</f>
        <v/>
      </c>
      <c r="M231" s="28">
        <f>E231-L231</f>
        <v/>
      </c>
      <c r="N231" s="28">
        <f>J231+K231+M231</f>
        <v/>
      </c>
      <c r="O231" s="28">
        <f>F231-J231-K231</f>
        <v/>
      </c>
      <c r="P231" s="28">
        <f>I231+N231</f>
        <v/>
      </c>
      <c r="Q231" s="36">
        <f>(1+CF_Yield/12)^-A231</f>
        <v/>
      </c>
      <c r="R231" s="28">
        <f>P231*Q231</f>
        <v/>
      </c>
    </row>
    <row r="232">
      <c r="A232" s="26">
        <f>A231+1</f>
        <v/>
      </c>
      <c r="B232" s="28">
        <f>O231</f>
        <v/>
      </c>
      <c r="C232" s="33">
        <f>1-(1-CF_CPR)^(1/12)</f>
        <v/>
      </c>
      <c r="D232" s="33">
        <f>1-(1-CF_CDR)^(1/12)</f>
        <v/>
      </c>
      <c r="E232" s="28">
        <f>B232*D232</f>
        <v/>
      </c>
      <c r="F232" s="28">
        <f>B232-E232</f>
        <v/>
      </c>
      <c r="G232" s="28">
        <f>IF(F232&gt;0.005,PMT(WAC/12,Term-A232+1,-F232),0)</f>
        <v/>
      </c>
      <c r="H232" s="28">
        <f>F232*WAC/12</f>
        <v/>
      </c>
      <c r="I232" s="28">
        <f>F232*(WAC-ServFee)/12</f>
        <v/>
      </c>
      <c r="J232" s="28">
        <f>G232-H232</f>
        <v/>
      </c>
      <c r="K232" s="28">
        <f>(F232-J232)*C232</f>
        <v/>
      </c>
      <c r="L232" s="28">
        <f>E232*Severity</f>
        <v/>
      </c>
      <c r="M232" s="28">
        <f>E232-L232</f>
        <v/>
      </c>
      <c r="N232" s="28">
        <f>J232+K232+M232</f>
        <v/>
      </c>
      <c r="O232" s="28">
        <f>F232-J232-K232</f>
        <v/>
      </c>
      <c r="P232" s="28">
        <f>I232+N232</f>
        <v/>
      </c>
      <c r="Q232" s="36">
        <f>(1+CF_Yield/12)^-A232</f>
        <v/>
      </c>
      <c r="R232" s="28">
        <f>P232*Q232</f>
        <v/>
      </c>
    </row>
    <row r="233">
      <c r="A233" s="26">
        <f>A232+1</f>
        <v/>
      </c>
      <c r="B233" s="28">
        <f>O232</f>
        <v/>
      </c>
      <c r="C233" s="33">
        <f>1-(1-CF_CPR)^(1/12)</f>
        <v/>
      </c>
      <c r="D233" s="33">
        <f>1-(1-CF_CDR)^(1/12)</f>
        <v/>
      </c>
      <c r="E233" s="28">
        <f>B233*D233</f>
        <v/>
      </c>
      <c r="F233" s="28">
        <f>B233-E233</f>
        <v/>
      </c>
      <c r="G233" s="28">
        <f>IF(F233&gt;0.005,PMT(WAC/12,Term-A233+1,-F233),0)</f>
        <v/>
      </c>
      <c r="H233" s="28">
        <f>F233*WAC/12</f>
        <v/>
      </c>
      <c r="I233" s="28">
        <f>F233*(WAC-ServFee)/12</f>
        <v/>
      </c>
      <c r="J233" s="28">
        <f>G233-H233</f>
        <v/>
      </c>
      <c r="K233" s="28">
        <f>(F233-J233)*C233</f>
        <v/>
      </c>
      <c r="L233" s="28">
        <f>E233*Severity</f>
        <v/>
      </c>
      <c r="M233" s="28">
        <f>E233-L233</f>
        <v/>
      </c>
      <c r="N233" s="28">
        <f>J233+K233+M233</f>
        <v/>
      </c>
      <c r="O233" s="28">
        <f>F233-J233-K233</f>
        <v/>
      </c>
      <c r="P233" s="28">
        <f>I233+N233</f>
        <v/>
      </c>
      <c r="Q233" s="36">
        <f>(1+CF_Yield/12)^-A233</f>
        <v/>
      </c>
      <c r="R233" s="28">
        <f>P233*Q233</f>
        <v/>
      </c>
    </row>
    <row r="234">
      <c r="A234" s="26">
        <f>A233+1</f>
        <v/>
      </c>
      <c r="B234" s="28">
        <f>O233</f>
        <v/>
      </c>
      <c r="C234" s="33">
        <f>1-(1-CF_CPR)^(1/12)</f>
        <v/>
      </c>
      <c r="D234" s="33">
        <f>1-(1-CF_CDR)^(1/12)</f>
        <v/>
      </c>
      <c r="E234" s="28">
        <f>B234*D234</f>
        <v/>
      </c>
      <c r="F234" s="28">
        <f>B234-E234</f>
        <v/>
      </c>
      <c r="G234" s="28">
        <f>IF(F234&gt;0.005,PMT(WAC/12,Term-A234+1,-F234),0)</f>
        <v/>
      </c>
      <c r="H234" s="28">
        <f>F234*WAC/12</f>
        <v/>
      </c>
      <c r="I234" s="28">
        <f>F234*(WAC-ServFee)/12</f>
        <v/>
      </c>
      <c r="J234" s="28">
        <f>G234-H234</f>
        <v/>
      </c>
      <c r="K234" s="28">
        <f>(F234-J234)*C234</f>
        <v/>
      </c>
      <c r="L234" s="28">
        <f>E234*Severity</f>
        <v/>
      </c>
      <c r="M234" s="28">
        <f>E234-L234</f>
        <v/>
      </c>
      <c r="N234" s="28">
        <f>J234+K234+M234</f>
        <v/>
      </c>
      <c r="O234" s="28">
        <f>F234-J234-K234</f>
        <v/>
      </c>
      <c r="P234" s="28">
        <f>I234+N234</f>
        <v/>
      </c>
      <c r="Q234" s="36">
        <f>(1+CF_Yield/12)^-A234</f>
        <v/>
      </c>
      <c r="R234" s="28">
        <f>P234*Q234</f>
        <v/>
      </c>
    </row>
    <row r="235">
      <c r="A235" s="26">
        <f>A234+1</f>
        <v/>
      </c>
      <c r="B235" s="28">
        <f>O234</f>
        <v/>
      </c>
      <c r="C235" s="33">
        <f>1-(1-CF_CPR)^(1/12)</f>
        <v/>
      </c>
      <c r="D235" s="33">
        <f>1-(1-CF_CDR)^(1/12)</f>
        <v/>
      </c>
      <c r="E235" s="28">
        <f>B235*D235</f>
        <v/>
      </c>
      <c r="F235" s="28">
        <f>B235-E235</f>
        <v/>
      </c>
      <c r="G235" s="28">
        <f>IF(F235&gt;0.005,PMT(WAC/12,Term-A235+1,-F235),0)</f>
        <v/>
      </c>
      <c r="H235" s="28">
        <f>F235*WAC/12</f>
        <v/>
      </c>
      <c r="I235" s="28">
        <f>F235*(WAC-ServFee)/12</f>
        <v/>
      </c>
      <c r="J235" s="28">
        <f>G235-H235</f>
        <v/>
      </c>
      <c r="K235" s="28">
        <f>(F235-J235)*C235</f>
        <v/>
      </c>
      <c r="L235" s="28">
        <f>E235*Severity</f>
        <v/>
      </c>
      <c r="M235" s="28">
        <f>E235-L235</f>
        <v/>
      </c>
      <c r="N235" s="28">
        <f>J235+K235+M235</f>
        <v/>
      </c>
      <c r="O235" s="28">
        <f>F235-J235-K235</f>
        <v/>
      </c>
      <c r="P235" s="28">
        <f>I235+N235</f>
        <v/>
      </c>
      <c r="Q235" s="36">
        <f>(1+CF_Yield/12)^-A235</f>
        <v/>
      </c>
      <c r="R235" s="28">
        <f>P235*Q235</f>
        <v/>
      </c>
    </row>
    <row r="236">
      <c r="A236" s="26">
        <f>A235+1</f>
        <v/>
      </c>
      <c r="B236" s="28">
        <f>O235</f>
        <v/>
      </c>
      <c r="C236" s="33">
        <f>1-(1-CF_CPR)^(1/12)</f>
        <v/>
      </c>
      <c r="D236" s="33">
        <f>1-(1-CF_CDR)^(1/12)</f>
        <v/>
      </c>
      <c r="E236" s="28">
        <f>B236*D236</f>
        <v/>
      </c>
      <c r="F236" s="28">
        <f>B236-E236</f>
        <v/>
      </c>
      <c r="G236" s="28">
        <f>IF(F236&gt;0.005,PMT(WAC/12,Term-A236+1,-F236),0)</f>
        <v/>
      </c>
      <c r="H236" s="28">
        <f>F236*WAC/12</f>
        <v/>
      </c>
      <c r="I236" s="28">
        <f>F236*(WAC-ServFee)/12</f>
        <v/>
      </c>
      <c r="J236" s="28">
        <f>G236-H236</f>
        <v/>
      </c>
      <c r="K236" s="28">
        <f>(F236-J236)*C236</f>
        <v/>
      </c>
      <c r="L236" s="28">
        <f>E236*Severity</f>
        <v/>
      </c>
      <c r="M236" s="28">
        <f>E236-L236</f>
        <v/>
      </c>
      <c r="N236" s="28">
        <f>J236+K236+M236</f>
        <v/>
      </c>
      <c r="O236" s="28">
        <f>F236-J236-K236</f>
        <v/>
      </c>
      <c r="P236" s="28">
        <f>I236+N236</f>
        <v/>
      </c>
      <c r="Q236" s="36">
        <f>(1+CF_Yield/12)^-A236</f>
        <v/>
      </c>
      <c r="R236" s="28">
        <f>P236*Q236</f>
        <v/>
      </c>
    </row>
    <row r="237">
      <c r="A237" s="26">
        <f>A236+1</f>
        <v/>
      </c>
      <c r="B237" s="28">
        <f>O236</f>
        <v/>
      </c>
      <c r="C237" s="33">
        <f>1-(1-CF_CPR)^(1/12)</f>
        <v/>
      </c>
      <c r="D237" s="33">
        <f>1-(1-CF_CDR)^(1/12)</f>
        <v/>
      </c>
      <c r="E237" s="28">
        <f>B237*D237</f>
        <v/>
      </c>
      <c r="F237" s="28">
        <f>B237-E237</f>
        <v/>
      </c>
      <c r="G237" s="28">
        <f>IF(F237&gt;0.005,PMT(WAC/12,Term-A237+1,-F237),0)</f>
        <v/>
      </c>
      <c r="H237" s="28">
        <f>F237*WAC/12</f>
        <v/>
      </c>
      <c r="I237" s="28">
        <f>F237*(WAC-ServFee)/12</f>
        <v/>
      </c>
      <c r="J237" s="28">
        <f>G237-H237</f>
        <v/>
      </c>
      <c r="K237" s="28">
        <f>(F237-J237)*C237</f>
        <v/>
      </c>
      <c r="L237" s="28">
        <f>E237*Severity</f>
        <v/>
      </c>
      <c r="M237" s="28">
        <f>E237-L237</f>
        <v/>
      </c>
      <c r="N237" s="28">
        <f>J237+K237+M237</f>
        <v/>
      </c>
      <c r="O237" s="28">
        <f>F237-J237-K237</f>
        <v/>
      </c>
      <c r="P237" s="28">
        <f>I237+N237</f>
        <v/>
      </c>
      <c r="Q237" s="36">
        <f>(1+CF_Yield/12)^-A237</f>
        <v/>
      </c>
      <c r="R237" s="28">
        <f>P237*Q237</f>
        <v/>
      </c>
    </row>
    <row r="238">
      <c r="A238" s="26">
        <f>A237+1</f>
        <v/>
      </c>
      <c r="B238" s="28">
        <f>O237</f>
        <v/>
      </c>
      <c r="C238" s="33">
        <f>1-(1-CF_CPR)^(1/12)</f>
        <v/>
      </c>
      <c r="D238" s="33">
        <f>1-(1-CF_CDR)^(1/12)</f>
        <v/>
      </c>
      <c r="E238" s="28">
        <f>B238*D238</f>
        <v/>
      </c>
      <c r="F238" s="28">
        <f>B238-E238</f>
        <v/>
      </c>
      <c r="G238" s="28">
        <f>IF(F238&gt;0.005,PMT(WAC/12,Term-A238+1,-F238),0)</f>
        <v/>
      </c>
      <c r="H238" s="28">
        <f>F238*WAC/12</f>
        <v/>
      </c>
      <c r="I238" s="28">
        <f>F238*(WAC-ServFee)/12</f>
        <v/>
      </c>
      <c r="J238" s="28">
        <f>G238-H238</f>
        <v/>
      </c>
      <c r="K238" s="28">
        <f>(F238-J238)*C238</f>
        <v/>
      </c>
      <c r="L238" s="28">
        <f>E238*Severity</f>
        <v/>
      </c>
      <c r="M238" s="28">
        <f>E238-L238</f>
        <v/>
      </c>
      <c r="N238" s="28">
        <f>J238+K238+M238</f>
        <v/>
      </c>
      <c r="O238" s="28">
        <f>F238-J238-K238</f>
        <v/>
      </c>
      <c r="P238" s="28">
        <f>I238+N238</f>
        <v/>
      </c>
      <c r="Q238" s="36">
        <f>(1+CF_Yield/12)^-A238</f>
        <v/>
      </c>
      <c r="R238" s="28">
        <f>P238*Q238</f>
        <v/>
      </c>
    </row>
    <row r="239">
      <c r="A239" s="26">
        <f>A238+1</f>
        <v/>
      </c>
      <c r="B239" s="28">
        <f>O238</f>
        <v/>
      </c>
      <c r="C239" s="33">
        <f>1-(1-CF_CPR)^(1/12)</f>
        <v/>
      </c>
      <c r="D239" s="33">
        <f>1-(1-CF_CDR)^(1/12)</f>
        <v/>
      </c>
      <c r="E239" s="28">
        <f>B239*D239</f>
        <v/>
      </c>
      <c r="F239" s="28">
        <f>B239-E239</f>
        <v/>
      </c>
      <c r="G239" s="28">
        <f>IF(F239&gt;0.005,PMT(WAC/12,Term-A239+1,-F239),0)</f>
        <v/>
      </c>
      <c r="H239" s="28">
        <f>F239*WAC/12</f>
        <v/>
      </c>
      <c r="I239" s="28">
        <f>F239*(WAC-ServFee)/12</f>
        <v/>
      </c>
      <c r="J239" s="28">
        <f>G239-H239</f>
        <v/>
      </c>
      <c r="K239" s="28">
        <f>(F239-J239)*C239</f>
        <v/>
      </c>
      <c r="L239" s="28">
        <f>E239*Severity</f>
        <v/>
      </c>
      <c r="M239" s="28">
        <f>E239-L239</f>
        <v/>
      </c>
      <c r="N239" s="28">
        <f>J239+K239+M239</f>
        <v/>
      </c>
      <c r="O239" s="28">
        <f>F239-J239-K239</f>
        <v/>
      </c>
      <c r="P239" s="28">
        <f>I239+N239</f>
        <v/>
      </c>
      <c r="Q239" s="36">
        <f>(1+CF_Yield/12)^-A239</f>
        <v/>
      </c>
      <c r="R239" s="28">
        <f>P239*Q239</f>
        <v/>
      </c>
    </row>
    <row r="240">
      <c r="A240" s="26">
        <f>A239+1</f>
        <v/>
      </c>
      <c r="B240" s="28">
        <f>O239</f>
        <v/>
      </c>
      <c r="C240" s="33">
        <f>1-(1-CF_CPR)^(1/12)</f>
        <v/>
      </c>
      <c r="D240" s="33">
        <f>1-(1-CF_CDR)^(1/12)</f>
        <v/>
      </c>
      <c r="E240" s="28">
        <f>B240*D240</f>
        <v/>
      </c>
      <c r="F240" s="28">
        <f>B240-E240</f>
        <v/>
      </c>
      <c r="G240" s="28">
        <f>IF(F240&gt;0.005,PMT(WAC/12,Term-A240+1,-F240),0)</f>
        <v/>
      </c>
      <c r="H240" s="28">
        <f>F240*WAC/12</f>
        <v/>
      </c>
      <c r="I240" s="28">
        <f>F240*(WAC-ServFee)/12</f>
        <v/>
      </c>
      <c r="J240" s="28">
        <f>G240-H240</f>
        <v/>
      </c>
      <c r="K240" s="28">
        <f>(F240-J240)*C240</f>
        <v/>
      </c>
      <c r="L240" s="28">
        <f>E240*Severity</f>
        <v/>
      </c>
      <c r="M240" s="28">
        <f>E240-L240</f>
        <v/>
      </c>
      <c r="N240" s="28">
        <f>J240+K240+M240</f>
        <v/>
      </c>
      <c r="O240" s="28">
        <f>F240-J240-K240</f>
        <v/>
      </c>
      <c r="P240" s="28">
        <f>I240+N240</f>
        <v/>
      </c>
      <c r="Q240" s="36">
        <f>(1+CF_Yield/12)^-A240</f>
        <v/>
      </c>
      <c r="R240" s="28">
        <f>P240*Q240</f>
        <v/>
      </c>
    </row>
    <row r="241">
      <c r="A241" s="26">
        <f>A240+1</f>
        <v/>
      </c>
      <c r="B241" s="28">
        <f>O240</f>
        <v/>
      </c>
      <c r="C241" s="33">
        <f>1-(1-CF_CPR)^(1/12)</f>
        <v/>
      </c>
      <c r="D241" s="33">
        <f>1-(1-CF_CDR)^(1/12)</f>
        <v/>
      </c>
      <c r="E241" s="28">
        <f>B241*D241</f>
        <v/>
      </c>
      <c r="F241" s="28">
        <f>B241-E241</f>
        <v/>
      </c>
      <c r="G241" s="28">
        <f>IF(F241&gt;0.005,PMT(WAC/12,Term-A241+1,-F241),0)</f>
        <v/>
      </c>
      <c r="H241" s="28">
        <f>F241*WAC/12</f>
        <v/>
      </c>
      <c r="I241" s="28">
        <f>F241*(WAC-ServFee)/12</f>
        <v/>
      </c>
      <c r="J241" s="28">
        <f>G241-H241</f>
        <v/>
      </c>
      <c r="K241" s="28">
        <f>(F241-J241)*C241</f>
        <v/>
      </c>
      <c r="L241" s="28">
        <f>E241*Severity</f>
        <v/>
      </c>
      <c r="M241" s="28">
        <f>E241-L241</f>
        <v/>
      </c>
      <c r="N241" s="28">
        <f>J241+K241+M241</f>
        <v/>
      </c>
      <c r="O241" s="28">
        <f>F241-J241-K241</f>
        <v/>
      </c>
      <c r="P241" s="28">
        <f>I241+N241</f>
        <v/>
      </c>
      <c r="Q241" s="36">
        <f>(1+CF_Yield/12)^-A241</f>
        <v/>
      </c>
      <c r="R241" s="28">
        <f>P241*Q241</f>
        <v/>
      </c>
    </row>
    <row r="242">
      <c r="A242" s="26">
        <f>A241+1</f>
        <v/>
      </c>
      <c r="B242" s="28">
        <f>O241</f>
        <v/>
      </c>
      <c r="C242" s="33">
        <f>1-(1-CF_CPR)^(1/12)</f>
        <v/>
      </c>
      <c r="D242" s="33">
        <f>1-(1-CF_CDR)^(1/12)</f>
        <v/>
      </c>
      <c r="E242" s="28">
        <f>B242*D242</f>
        <v/>
      </c>
      <c r="F242" s="28">
        <f>B242-E242</f>
        <v/>
      </c>
      <c r="G242" s="28">
        <f>IF(F242&gt;0.005,PMT(WAC/12,Term-A242+1,-F242),0)</f>
        <v/>
      </c>
      <c r="H242" s="28">
        <f>F242*WAC/12</f>
        <v/>
      </c>
      <c r="I242" s="28">
        <f>F242*(WAC-ServFee)/12</f>
        <v/>
      </c>
      <c r="J242" s="28">
        <f>G242-H242</f>
        <v/>
      </c>
      <c r="K242" s="28">
        <f>(F242-J242)*C242</f>
        <v/>
      </c>
      <c r="L242" s="28">
        <f>E242*Severity</f>
        <v/>
      </c>
      <c r="M242" s="28">
        <f>E242-L242</f>
        <v/>
      </c>
      <c r="N242" s="28">
        <f>J242+K242+M242</f>
        <v/>
      </c>
      <c r="O242" s="28">
        <f>F242-J242-K242</f>
        <v/>
      </c>
      <c r="P242" s="28">
        <f>I242+N242</f>
        <v/>
      </c>
      <c r="Q242" s="36">
        <f>(1+CF_Yield/12)^-A242</f>
        <v/>
      </c>
      <c r="R242" s="28">
        <f>P242*Q242</f>
        <v/>
      </c>
    </row>
    <row r="243">
      <c r="A243" s="26">
        <f>A242+1</f>
        <v/>
      </c>
      <c r="B243" s="28">
        <f>O242</f>
        <v/>
      </c>
      <c r="C243" s="33">
        <f>1-(1-CF_CPR)^(1/12)</f>
        <v/>
      </c>
      <c r="D243" s="33">
        <f>1-(1-CF_CDR)^(1/12)</f>
        <v/>
      </c>
      <c r="E243" s="28">
        <f>B243*D243</f>
        <v/>
      </c>
      <c r="F243" s="28">
        <f>B243-E243</f>
        <v/>
      </c>
      <c r="G243" s="28">
        <f>IF(F243&gt;0.005,PMT(WAC/12,Term-A243+1,-F243),0)</f>
        <v/>
      </c>
      <c r="H243" s="28">
        <f>F243*WAC/12</f>
        <v/>
      </c>
      <c r="I243" s="28">
        <f>F243*(WAC-ServFee)/12</f>
        <v/>
      </c>
      <c r="J243" s="28">
        <f>G243-H243</f>
        <v/>
      </c>
      <c r="K243" s="28">
        <f>(F243-J243)*C243</f>
        <v/>
      </c>
      <c r="L243" s="28">
        <f>E243*Severity</f>
        <v/>
      </c>
      <c r="M243" s="28">
        <f>E243-L243</f>
        <v/>
      </c>
      <c r="N243" s="28">
        <f>J243+K243+M243</f>
        <v/>
      </c>
      <c r="O243" s="28">
        <f>F243-J243-K243</f>
        <v/>
      </c>
      <c r="P243" s="28">
        <f>I243+N243</f>
        <v/>
      </c>
      <c r="Q243" s="36">
        <f>(1+CF_Yield/12)^-A243</f>
        <v/>
      </c>
      <c r="R243" s="28">
        <f>P243*Q243</f>
        <v/>
      </c>
    </row>
    <row r="244">
      <c r="A244" s="26">
        <f>A243+1</f>
        <v/>
      </c>
      <c r="B244" s="28">
        <f>O243</f>
        <v/>
      </c>
      <c r="C244" s="33">
        <f>1-(1-CF_CPR)^(1/12)</f>
        <v/>
      </c>
      <c r="D244" s="33">
        <f>1-(1-CF_CDR)^(1/12)</f>
        <v/>
      </c>
      <c r="E244" s="28">
        <f>B244*D244</f>
        <v/>
      </c>
      <c r="F244" s="28">
        <f>B244-E244</f>
        <v/>
      </c>
      <c r="G244" s="28">
        <f>IF(F244&gt;0.005,PMT(WAC/12,Term-A244+1,-F244),0)</f>
        <v/>
      </c>
      <c r="H244" s="28">
        <f>F244*WAC/12</f>
        <v/>
      </c>
      <c r="I244" s="28">
        <f>F244*(WAC-ServFee)/12</f>
        <v/>
      </c>
      <c r="J244" s="28">
        <f>G244-H244</f>
        <v/>
      </c>
      <c r="K244" s="28">
        <f>(F244-J244)*C244</f>
        <v/>
      </c>
      <c r="L244" s="28">
        <f>E244*Severity</f>
        <v/>
      </c>
      <c r="M244" s="28">
        <f>E244-L244</f>
        <v/>
      </c>
      <c r="N244" s="28">
        <f>J244+K244+M244</f>
        <v/>
      </c>
      <c r="O244" s="28">
        <f>F244-J244-K244</f>
        <v/>
      </c>
      <c r="P244" s="28">
        <f>I244+N244</f>
        <v/>
      </c>
      <c r="Q244" s="36">
        <f>(1+CF_Yield/12)^-A244</f>
        <v/>
      </c>
      <c r="R244" s="28">
        <f>P244*Q244</f>
        <v/>
      </c>
    </row>
    <row r="245">
      <c r="A245" s="26">
        <f>A244+1</f>
        <v/>
      </c>
      <c r="B245" s="28">
        <f>O244</f>
        <v/>
      </c>
      <c r="C245" s="33">
        <f>1-(1-CF_CPR)^(1/12)</f>
        <v/>
      </c>
      <c r="D245" s="33">
        <f>1-(1-CF_CDR)^(1/12)</f>
        <v/>
      </c>
      <c r="E245" s="28">
        <f>B245*D245</f>
        <v/>
      </c>
      <c r="F245" s="28">
        <f>B245-E245</f>
        <v/>
      </c>
      <c r="G245" s="28">
        <f>IF(F245&gt;0.005,PMT(WAC/12,Term-A245+1,-F245),0)</f>
        <v/>
      </c>
      <c r="H245" s="28">
        <f>F245*WAC/12</f>
        <v/>
      </c>
      <c r="I245" s="28">
        <f>F245*(WAC-ServFee)/12</f>
        <v/>
      </c>
      <c r="J245" s="28">
        <f>G245-H245</f>
        <v/>
      </c>
      <c r="K245" s="28">
        <f>(F245-J245)*C245</f>
        <v/>
      </c>
      <c r="L245" s="28">
        <f>E245*Severity</f>
        <v/>
      </c>
      <c r="M245" s="28">
        <f>E245-L245</f>
        <v/>
      </c>
      <c r="N245" s="28">
        <f>J245+K245+M245</f>
        <v/>
      </c>
      <c r="O245" s="28">
        <f>F245-J245-K245</f>
        <v/>
      </c>
      <c r="P245" s="28">
        <f>I245+N245</f>
        <v/>
      </c>
      <c r="Q245" s="36">
        <f>(1+CF_Yield/12)^-A245</f>
        <v/>
      </c>
      <c r="R245" s="28">
        <f>P245*Q245</f>
        <v/>
      </c>
    </row>
    <row r="246">
      <c r="A246" s="26">
        <f>A245+1</f>
        <v/>
      </c>
      <c r="B246" s="28">
        <f>O245</f>
        <v/>
      </c>
      <c r="C246" s="33">
        <f>1-(1-CF_CPR)^(1/12)</f>
        <v/>
      </c>
      <c r="D246" s="33">
        <f>1-(1-CF_CDR)^(1/12)</f>
        <v/>
      </c>
      <c r="E246" s="28">
        <f>B246*D246</f>
        <v/>
      </c>
      <c r="F246" s="28">
        <f>B246-E246</f>
        <v/>
      </c>
      <c r="G246" s="28">
        <f>IF(F246&gt;0.005,PMT(WAC/12,Term-A246+1,-F246),0)</f>
        <v/>
      </c>
      <c r="H246" s="28">
        <f>F246*WAC/12</f>
        <v/>
      </c>
      <c r="I246" s="28">
        <f>F246*(WAC-ServFee)/12</f>
        <v/>
      </c>
      <c r="J246" s="28">
        <f>G246-H246</f>
        <v/>
      </c>
      <c r="K246" s="28">
        <f>(F246-J246)*C246</f>
        <v/>
      </c>
      <c r="L246" s="28">
        <f>E246*Severity</f>
        <v/>
      </c>
      <c r="M246" s="28">
        <f>E246-L246</f>
        <v/>
      </c>
      <c r="N246" s="28">
        <f>J246+K246+M246</f>
        <v/>
      </c>
      <c r="O246" s="28">
        <f>F246-J246-K246</f>
        <v/>
      </c>
      <c r="P246" s="28">
        <f>I246+N246</f>
        <v/>
      </c>
      <c r="Q246" s="36">
        <f>(1+CF_Yield/12)^-A246</f>
        <v/>
      </c>
      <c r="R246" s="28">
        <f>P246*Q246</f>
        <v/>
      </c>
    </row>
    <row r="247">
      <c r="A247" s="26">
        <f>A246+1</f>
        <v/>
      </c>
      <c r="B247" s="28">
        <f>O246</f>
        <v/>
      </c>
      <c r="C247" s="33">
        <f>1-(1-CF_CPR)^(1/12)</f>
        <v/>
      </c>
      <c r="D247" s="33">
        <f>1-(1-CF_CDR)^(1/12)</f>
        <v/>
      </c>
      <c r="E247" s="28">
        <f>B247*D247</f>
        <v/>
      </c>
      <c r="F247" s="28">
        <f>B247-E247</f>
        <v/>
      </c>
      <c r="G247" s="28">
        <f>IF(F247&gt;0.005,PMT(WAC/12,Term-A247+1,-F247),0)</f>
        <v/>
      </c>
      <c r="H247" s="28">
        <f>F247*WAC/12</f>
        <v/>
      </c>
      <c r="I247" s="28">
        <f>F247*(WAC-ServFee)/12</f>
        <v/>
      </c>
      <c r="J247" s="28">
        <f>G247-H247</f>
        <v/>
      </c>
      <c r="K247" s="28">
        <f>(F247-J247)*C247</f>
        <v/>
      </c>
      <c r="L247" s="28">
        <f>E247*Severity</f>
        <v/>
      </c>
      <c r="M247" s="28">
        <f>E247-L247</f>
        <v/>
      </c>
      <c r="N247" s="28">
        <f>J247+K247+M247</f>
        <v/>
      </c>
      <c r="O247" s="28">
        <f>F247-J247-K247</f>
        <v/>
      </c>
      <c r="P247" s="28">
        <f>I247+N247</f>
        <v/>
      </c>
      <c r="Q247" s="36">
        <f>(1+CF_Yield/12)^-A247</f>
        <v/>
      </c>
      <c r="R247" s="28">
        <f>P247*Q247</f>
        <v/>
      </c>
    </row>
    <row r="248">
      <c r="A248" s="26">
        <f>A247+1</f>
        <v/>
      </c>
      <c r="B248" s="28">
        <f>O247</f>
        <v/>
      </c>
      <c r="C248" s="33">
        <f>1-(1-CF_CPR)^(1/12)</f>
        <v/>
      </c>
      <c r="D248" s="33">
        <f>1-(1-CF_CDR)^(1/12)</f>
        <v/>
      </c>
      <c r="E248" s="28">
        <f>B248*D248</f>
        <v/>
      </c>
      <c r="F248" s="28">
        <f>B248-E248</f>
        <v/>
      </c>
      <c r="G248" s="28">
        <f>IF(F248&gt;0.005,PMT(WAC/12,Term-A248+1,-F248),0)</f>
        <v/>
      </c>
      <c r="H248" s="28">
        <f>F248*WAC/12</f>
        <v/>
      </c>
      <c r="I248" s="28">
        <f>F248*(WAC-ServFee)/12</f>
        <v/>
      </c>
      <c r="J248" s="28">
        <f>G248-H248</f>
        <v/>
      </c>
      <c r="K248" s="28">
        <f>(F248-J248)*C248</f>
        <v/>
      </c>
      <c r="L248" s="28">
        <f>E248*Severity</f>
        <v/>
      </c>
      <c r="M248" s="28">
        <f>E248-L248</f>
        <v/>
      </c>
      <c r="N248" s="28">
        <f>J248+K248+M248</f>
        <v/>
      </c>
      <c r="O248" s="28">
        <f>F248-J248-K248</f>
        <v/>
      </c>
      <c r="P248" s="28">
        <f>I248+N248</f>
        <v/>
      </c>
      <c r="Q248" s="36">
        <f>(1+CF_Yield/12)^-A248</f>
        <v/>
      </c>
      <c r="R248" s="28">
        <f>P248*Q248</f>
        <v/>
      </c>
    </row>
    <row r="249">
      <c r="A249" s="26">
        <f>A248+1</f>
        <v/>
      </c>
      <c r="B249" s="28">
        <f>O248</f>
        <v/>
      </c>
      <c r="C249" s="33">
        <f>1-(1-CF_CPR)^(1/12)</f>
        <v/>
      </c>
      <c r="D249" s="33">
        <f>1-(1-CF_CDR)^(1/12)</f>
        <v/>
      </c>
      <c r="E249" s="28">
        <f>B249*D249</f>
        <v/>
      </c>
      <c r="F249" s="28">
        <f>B249-E249</f>
        <v/>
      </c>
      <c r="G249" s="28">
        <f>IF(F249&gt;0.005,PMT(WAC/12,Term-A249+1,-F249),0)</f>
        <v/>
      </c>
      <c r="H249" s="28">
        <f>F249*WAC/12</f>
        <v/>
      </c>
      <c r="I249" s="28">
        <f>F249*(WAC-ServFee)/12</f>
        <v/>
      </c>
      <c r="J249" s="28">
        <f>G249-H249</f>
        <v/>
      </c>
      <c r="K249" s="28">
        <f>(F249-J249)*C249</f>
        <v/>
      </c>
      <c r="L249" s="28">
        <f>E249*Severity</f>
        <v/>
      </c>
      <c r="M249" s="28">
        <f>E249-L249</f>
        <v/>
      </c>
      <c r="N249" s="28">
        <f>J249+K249+M249</f>
        <v/>
      </c>
      <c r="O249" s="28">
        <f>F249-J249-K249</f>
        <v/>
      </c>
      <c r="P249" s="28">
        <f>I249+N249</f>
        <v/>
      </c>
      <c r="Q249" s="36">
        <f>(1+CF_Yield/12)^-A249</f>
        <v/>
      </c>
      <c r="R249" s="28">
        <f>P249*Q249</f>
        <v/>
      </c>
    </row>
    <row r="250">
      <c r="A250" s="26">
        <f>A249+1</f>
        <v/>
      </c>
      <c r="B250" s="28">
        <f>O249</f>
        <v/>
      </c>
      <c r="C250" s="33">
        <f>1-(1-CF_CPR)^(1/12)</f>
        <v/>
      </c>
      <c r="D250" s="33">
        <f>1-(1-CF_CDR)^(1/12)</f>
        <v/>
      </c>
      <c r="E250" s="28">
        <f>B250*D250</f>
        <v/>
      </c>
      <c r="F250" s="28">
        <f>B250-E250</f>
        <v/>
      </c>
      <c r="G250" s="28">
        <f>IF(F250&gt;0.005,PMT(WAC/12,Term-A250+1,-F250),0)</f>
        <v/>
      </c>
      <c r="H250" s="28">
        <f>F250*WAC/12</f>
        <v/>
      </c>
      <c r="I250" s="28">
        <f>F250*(WAC-ServFee)/12</f>
        <v/>
      </c>
      <c r="J250" s="28">
        <f>G250-H250</f>
        <v/>
      </c>
      <c r="K250" s="28">
        <f>(F250-J250)*C250</f>
        <v/>
      </c>
      <c r="L250" s="28">
        <f>E250*Severity</f>
        <v/>
      </c>
      <c r="M250" s="28">
        <f>E250-L250</f>
        <v/>
      </c>
      <c r="N250" s="28">
        <f>J250+K250+M250</f>
        <v/>
      </c>
      <c r="O250" s="28">
        <f>F250-J250-K250</f>
        <v/>
      </c>
      <c r="P250" s="28">
        <f>I250+N250</f>
        <v/>
      </c>
      <c r="Q250" s="36">
        <f>(1+CF_Yield/12)^-A250</f>
        <v/>
      </c>
      <c r="R250" s="28">
        <f>P250*Q250</f>
        <v/>
      </c>
    </row>
    <row r="251">
      <c r="A251" s="26">
        <f>A250+1</f>
        <v/>
      </c>
      <c r="B251" s="28">
        <f>O250</f>
        <v/>
      </c>
      <c r="C251" s="33">
        <f>1-(1-CF_CPR)^(1/12)</f>
        <v/>
      </c>
      <c r="D251" s="33">
        <f>1-(1-CF_CDR)^(1/12)</f>
        <v/>
      </c>
      <c r="E251" s="28">
        <f>B251*D251</f>
        <v/>
      </c>
      <c r="F251" s="28">
        <f>B251-E251</f>
        <v/>
      </c>
      <c r="G251" s="28">
        <f>IF(F251&gt;0.005,PMT(WAC/12,Term-A251+1,-F251),0)</f>
        <v/>
      </c>
      <c r="H251" s="28">
        <f>F251*WAC/12</f>
        <v/>
      </c>
      <c r="I251" s="28">
        <f>F251*(WAC-ServFee)/12</f>
        <v/>
      </c>
      <c r="J251" s="28">
        <f>G251-H251</f>
        <v/>
      </c>
      <c r="K251" s="28">
        <f>(F251-J251)*C251</f>
        <v/>
      </c>
      <c r="L251" s="28">
        <f>E251*Severity</f>
        <v/>
      </c>
      <c r="M251" s="28">
        <f>E251-L251</f>
        <v/>
      </c>
      <c r="N251" s="28">
        <f>J251+K251+M251</f>
        <v/>
      </c>
      <c r="O251" s="28">
        <f>F251-J251-K251</f>
        <v/>
      </c>
      <c r="P251" s="28">
        <f>I251+N251</f>
        <v/>
      </c>
      <c r="Q251" s="36">
        <f>(1+CF_Yield/12)^-A251</f>
        <v/>
      </c>
      <c r="R251" s="28">
        <f>P251*Q251</f>
        <v/>
      </c>
    </row>
    <row r="252">
      <c r="A252" s="26">
        <f>A251+1</f>
        <v/>
      </c>
      <c r="B252" s="28">
        <f>O251</f>
        <v/>
      </c>
      <c r="C252" s="33">
        <f>1-(1-CF_CPR)^(1/12)</f>
        <v/>
      </c>
      <c r="D252" s="33">
        <f>1-(1-CF_CDR)^(1/12)</f>
        <v/>
      </c>
      <c r="E252" s="28">
        <f>B252*D252</f>
        <v/>
      </c>
      <c r="F252" s="28">
        <f>B252-E252</f>
        <v/>
      </c>
      <c r="G252" s="28">
        <f>IF(F252&gt;0.005,PMT(WAC/12,Term-A252+1,-F252),0)</f>
        <v/>
      </c>
      <c r="H252" s="28">
        <f>F252*WAC/12</f>
        <v/>
      </c>
      <c r="I252" s="28">
        <f>F252*(WAC-ServFee)/12</f>
        <v/>
      </c>
      <c r="J252" s="28">
        <f>G252-H252</f>
        <v/>
      </c>
      <c r="K252" s="28">
        <f>(F252-J252)*C252</f>
        <v/>
      </c>
      <c r="L252" s="28">
        <f>E252*Severity</f>
        <v/>
      </c>
      <c r="M252" s="28">
        <f>E252-L252</f>
        <v/>
      </c>
      <c r="N252" s="28">
        <f>J252+K252+M252</f>
        <v/>
      </c>
      <c r="O252" s="28">
        <f>F252-J252-K252</f>
        <v/>
      </c>
      <c r="P252" s="28">
        <f>I252+N252</f>
        <v/>
      </c>
      <c r="Q252" s="36">
        <f>(1+CF_Yield/12)^-A252</f>
        <v/>
      </c>
      <c r="R252" s="28">
        <f>P252*Q252</f>
        <v/>
      </c>
    </row>
    <row r="253">
      <c r="A253" s="26">
        <f>A252+1</f>
        <v/>
      </c>
      <c r="B253" s="28">
        <f>O252</f>
        <v/>
      </c>
      <c r="C253" s="33">
        <f>1-(1-CF_CPR)^(1/12)</f>
        <v/>
      </c>
      <c r="D253" s="33">
        <f>1-(1-CF_CDR)^(1/12)</f>
        <v/>
      </c>
      <c r="E253" s="28">
        <f>B253*D253</f>
        <v/>
      </c>
      <c r="F253" s="28">
        <f>B253-E253</f>
        <v/>
      </c>
      <c r="G253" s="28">
        <f>IF(F253&gt;0.005,PMT(WAC/12,Term-A253+1,-F253),0)</f>
        <v/>
      </c>
      <c r="H253" s="28">
        <f>F253*WAC/12</f>
        <v/>
      </c>
      <c r="I253" s="28">
        <f>F253*(WAC-ServFee)/12</f>
        <v/>
      </c>
      <c r="J253" s="28">
        <f>G253-H253</f>
        <v/>
      </c>
      <c r="K253" s="28">
        <f>(F253-J253)*C253</f>
        <v/>
      </c>
      <c r="L253" s="28">
        <f>E253*Severity</f>
        <v/>
      </c>
      <c r="M253" s="28">
        <f>E253-L253</f>
        <v/>
      </c>
      <c r="N253" s="28">
        <f>J253+K253+M253</f>
        <v/>
      </c>
      <c r="O253" s="28">
        <f>F253-J253-K253</f>
        <v/>
      </c>
      <c r="P253" s="28">
        <f>I253+N253</f>
        <v/>
      </c>
      <c r="Q253" s="36">
        <f>(1+CF_Yield/12)^-A253</f>
        <v/>
      </c>
      <c r="R253" s="28">
        <f>P253*Q253</f>
        <v/>
      </c>
    </row>
    <row r="254">
      <c r="A254" s="26">
        <f>A253+1</f>
        <v/>
      </c>
      <c r="B254" s="28">
        <f>O253</f>
        <v/>
      </c>
      <c r="C254" s="33">
        <f>1-(1-CF_CPR)^(1/12)</f>
        <v/>
      </c>
      <c r="D254" s="33">
        <f>1-(1-CF_CDR)^(1/12)</f>
        <v/>
      </c>
      <c r="E254" s="28">
        <f>B254*D254</f>
        <v/>
      </c>
      <c r="F254" s="28">
        <f>B254-E254</f>
        <v/>
      </c>
      <c r="G254" s="28">
        <f>IF(F254&gt;0.005,PMT(WAC/12,Term-A254+1,-F254),0)</f>
        <v/>
      </c>
      <c r="H254" s="28">
        <f>F254*WAC/12</f>
        <v/>
      </c>
      <c r="I254" s="28">
        <f>F254*(WAC-ServFee)/12</f>
        <v/>
      </c>
      <c r="J254" s="28">
        <f>G254-H254</f>
        <v/>
      </c>
      <c r="K254" s="28">
        <f>(F254-J254)*C254</f>
        <v/>
      </c>
      <c r="L254" s="28">
        <f>E254*Severity</f>
        <v/>
      </c>
      <c r="M254" s="28">
        <f>E254-L254</f>
        <v/>
      </c>
      <c r="N254" s="28">
        <f>J254+K254+M254</f>
        <v/>
      </c>
      <c r="O254" s="28">
        <f>F254-J254-K254</f>
        <v/>
      </c>
      <c r="P254" s="28">
        <f>I254+N254</f>
        <v/>
      </c>
      <c r="Q254" s="36">
        <f>(1+CF_Yield/12)^-A254</f>
        <v/>
      </c>
      <c r="R254" s="28">
        <f>P254*Q254</f>
        <v/>
      </c>
    </row>
    <row r="255">
      <c r="A255" s="26">
        <f>A254+1</f>
        <v/>
      </c>
      <c r="B255" s="28">
        <f>O254</f>
        <v/>
      </c>
      <c r="C255" s="33">
        <f>1-(1-CF_CPR)^(1/12)</f>
        <v/>
      </c>
      <c r="D255" s="33">
        <f>1-(1-CF_CDR)^(1/12)</f>
        <v/>
      </c>
      <c r="E255" s="28">
        <f>B255*D255</f>
        <v/>
      </c>
      <c r="F255" s="28">
        <f>B255-E255</f>
        <v/>
      </c>
      <c r="G255" s="28">
        <f>IF(F255&gt;0.005,PMT(WAC/12,Term-A255+1,-F255),0)</f>
        <v/>
      </c>
      <c r="H255" s="28">
        <f>F255*WAC/12</f>
        <v/>
      </c>
      <c r="I255" s="28">
        <f>F255*(WAC-ServFee)/12</f>
        <v/>
      </c>
      <c r="J255" s="28">
        <f>G255-H255</f>
        <v/>
      </c>
      <c r="K255" s="28">
        <f>(F255-J255)*C255</f>
        <v/>
      </c>
      <c r="L255" s="28">
        <f>E255*Severity</f>
        <v/>
      </c>
      <c r="M255" s="28">
        <f>E255-L255</f>
        <v/>
      </c>
      <c r="N255" s="28">
        <f>J255+K255+M255</f>
        <v/>
      </c>
      <c r="O255" s="28">
        <f>F255-J255-K255</f>
        <v/>
      </c>
      <c r="P255" s="28">
        <f>I255+N255</f>
        <v/>
      </c>
      <c r="Q255" s="36">
        <f>(1+CF_Yield/12)^-A255</f>
        <v/>
      </c>
      <c r="R255" s="28">
        <f>P255*Q255</f>
        <v/>
      </c>
    </row>
    <row r="256">
      <c r="A256" s="26">
        <f>A255+1</f>
        <v/>
      </c>
      <c r="B256" s="28">
        <f>O255</f>
        <v/>
      </c>
      <c r="C256" s="33">
        <f>1-(1-CF_CPR)^(1/12)</f>
        <v/>
      </c>
      <c r="D256" s="33">
        <f>1-(1-CF_CDR)^(1/12)</f>
        <v/>
      </c>
      <c r="E256" s="28">
        <f>B256*D256</f>
        <v/>
      </c>
      <c r="F256" s="28">
        <f>B256-E256</f>
        <v/>
      </c>
      <c r="G256" s="28">
        <f>IF(F256&gt;0.005,PMT(WAC/12,Term-A256+1,-F256),0)</f>
        <v/>
      </c>
      <c r="H256" s="28">
        <f>F256*WAC/12</f>
        <v/>
      </c>
      <c r="I256" s="28">
        <f>F256*(WAC-ServFee)/12</f>
        <v/>
      </c>
      <c r="J256" s="28">
        <f>G256-H256</f>
        <v/>
      </c>
      <c r="K256" s="28">
        <f>(F256-J256)*C256</f>
        <v/>
      </c>
      <c r="L256" s="28">
        <f>E256*Severity</f>
        <v/>
      </c>
      <c r="M256" s="28">
        <f>E256-L256</f>
        <v/>
      </c>
      <c r="N256" s="28">
        <f>J256+K256+M256</f>
        <v/>
      </c>
      <c r="O256" s="28">
        <f>F256-J256-K256</f>
        <v/>
      </c>
      <c r="P256" s="28">
        <f>I256+N256</f>
        <v/>
      </c>
      <c r="Q256" s="36">
        <f>(1+CF_Yield/12)^-A256</f>
        <v/>
      </c>
      <c r="R256" s="28">
        <f>P256*Q256</f>
        <v/>
      </c>
    </row>
    <row r="257">
      <c r="A257" s="26">
        <f>A256+1</f>
        <v/>
      </c>
      <c r="B257" s="28">
        <f>O256</f>
        <v/>
      </c>
      <c r="C257" s="33">
        <f>1-(1-CF_CPR)^(1/12)</f>
        <v/>
      </c>
      <c r="D257" s="33">
        <f>1-(1-CF_CDR)^(1/12)</f>
        <v/>
      </c>
      <c r="E257" s="28">
        <f>B257*D257</f>
        <v/>
      </c>
      <c r="F257" s="28">
        <f>B257-E257</f>
        <v/>
      </c>
      <c r="G257" s="28">
        <f>IF(F257&gt;0.005,PMT(WAC/12,Term-A257+1,-F257),0)</f>
        <v/>
      </c>
      <c r="H257" s="28">
        <f>F257*WAC/12</f>
        <v/>
      </c>
      <c r="I257" s="28">
        <f>F257*(WAC-ServFee)/12</f>
        <v/>
      </c>
      <c r="J257" s="28">
        <f>G257-H257</f>
        <v/>
      </c>
      <c r="K257" s="28">
        <f>(F257-J257)*C257</f>
        <v/>
      </c>
      <c r="L257" s="28">
        <f>E257*Severity</f>
        <v/>
      </c>
      <c r="M257" s="28">
        <f>E257-L257</f>
        <v/>
      </c>
      <c r="N257" s="28">
        <f>J257+K257+M257</f>
        <v/>
      </c>
      <c r="O257" s="28">
        <f>F257-J257-K257</f>
        <v/>
      </c>
      <c r="P257" s="28">
        <f>I257+N257</f>
        <v/>
      </c>
      <c r="Q257" s="36">
        <f>(1+CF_Yield/12)^-A257</f>
        <v/>
      </c>
      <c r="R257" s="28">
        <f>P257*Q257</f>
        <v/>
      </c>
    </row>
    <row r="258">
      <c r="A258" s="26">
        <f>A257+1</f>
        <v/>
      </c>
      <c r="B258" s="28">
        <f>O257</f>
        <v/>
      </c>
      <c r="C258" s="33">
        <f>1-(1-CF_CPR)^(1/12)</f>
        <v/>
      </c>
      <c r="D258" s="33">
        <f>1-(1-CF_CDR)^(1/12)</f>
        <v/>
      </c>
      <c r="E258" s="28">
        <f>B258*D258</f>
        <v/>
      </c>
      <c r="F258" s="28">
        <f>B258-E258</f>
        <v/>
      </c>
      <c r="G258" s="28">
        <f>IF(F258&gt;0.005,PMT(WAC/12,Term-A258+1,-F258),0)</f>
        <v/>
      </c>
      <c r="H258" s="28">
        <f>F258*WAC/12</f>
        <v/>
      </c>
      <c r="I258" s="28">
        <f>F258*(WAC-ServFee)/12</f>
        <v/>
      </c>
      <c r="J258" s="28">
        <f>G258-H258</f>
        <v/>
      </c>
      <c r="K258" s="28">
        <f>(F258-J258)*C258</f>
        <v/>
      </c>
      <c r="L258" s="28">
        <f>E258*Severity</f>
        <v/>
      </c>
      <c r="M258" s="28">
        <f>E258-L258</f>
        <v/>
      </c>
      <c r="N258" s="28">
        <f>J258+K258+M258</f>
        <v/>
      </c>
      <c r="O258" s="28">
        <f>F258-J258-K258</f>
        <v/>
      </c>
      <c r="P258" s="28">
        <f>I258+N258</f>
        <v/>
      </c>
      <c r="Q258" s="36">
        <f>(1+CF_Yield/12)^-A258</f>
        <v/>
      </c>
      <c r="R258" s="28">
        <f>P258*Q258</f>
        <v/>
      </c>
    </row>
    <row r="259">
      <c r="A259" s="26">
        <f>A258+1</f>
        <v/>
      </c>
      <c r="B259" s="28">
        <f>O258</f>
        <v/>
      </c>
      <c r="C259" s="33">
        <f>1-(1-CF_CPR)^(1/12)</f>
        <v/>
      </c>
      <c r="D259" s="33">
        <f>1-(1-CF_CDR)^(1/12)</f>
        <v/>
      </c>
      <c r="E259" s="28">
        <f>B259*D259</f>
        <v/>
      </c>
      <c r="F259" s="28">
        <f>B259-E259</f>
        <v/>
      </c>
      <c r="G259" s="28">
        <f>IF(F259&gt;0.005,PMT(WAC/12,Term-A259+1,-F259),0)</f>
        <v/>
      </c>
      <c r="H259" s="28">
        <f>F259*WAC/12</f>
        <v/>
      </c>
      <c r="I259" s="28">
        <f>F259*(WAC-ServFee)/12</f>
        <v/>
      </c>
      <c r="J259" s="28">
        <f>G259-H259</f>
        <v/>
      </c>
      <c r="K259" s="28">
        <f>(F259-J259)*C259</f>
        <v/>
      </c>
      <c r="L259" s="28">
        <f>E259*Severity</f>
        <v/>
      </c>
      <c r="M259" s="28">
        <f>E259-L259</f>
        <v/>
      </c>
      <c r="N259" s="28">
        <f>J259+K259+M259</f>
        <v/>
      </c>
      <c r="O259" s="28">
        <f>F259-J259-K259</f>
        <v/>
      </c>
      <c r="P259" s="28">
        <f>I259+N259</f>
        <v/>
      </c>
      <c r="Q259" s="36">
        <f>(1+CF_Yield/12)^-A259</f>
        <v/>
      </c>
      <c r="R259" s="28">
        <f>P259*Q259</f>
        <v/>
      </c>
    </row>
    <row r="260">
      <c r="A260" s="26">
        <f>A259+1</f>
        <v/>
      </c>
      <c r="B260" s="28">
        <f>O259</f>
        <v/>
      </c>
      <c r="C260" s="33">
        <f>1-(1-CF_CPR)^(1/12)</f>
        <v/>
      </c>
      <c r="D260" s="33">
        <f>1-(1-CF_CDR)^(1/12)</f>
        <v/>
      </c>
      <c r="E260" s="28">
        <f>B260*D260</f>
        <v/>
      </c>
      <c r="F260" s="28">
        <f>B260-E260</f>
        <v/>
      </c>
      <c r="G260" s="28">
        <f>IF(F260&gt;0.005,PMT(WAC/12,Term-A260+1,-F260),0)</f>
        <v/>
      </c>
      <c r="H260" s="28">
        <f>F260*WAC/12</f>
        <v/>
      </c>
      <c r="I260" s="28">
        <f>F260*(WAC-ServFee)/12</f>
        <v/>
      </c>
      <c r="J260" s="28">
        <f>G260-H260</f>
        <v/>
      </c>
      <c r="K260" s="28">
        <f>(F260-J260)*C260</f>
        <v/>
      </c>
      <c r="L260" s="28">
        <f>E260*Severity</f>
        <v/>
      </c>
      <c r="M260" s="28">
        <f>E260-L260</f>
        <v/>
      </c>
      <c r="N260" s="28">
        <f>J260+K260+M260</f>
        <v/>
      </c>
      <c r="O260" s="28">
        <f>F260-J260-K260</f>
        <v/>
      </c>
      <c r="P260" s="28">
        <f>I260+N260</f>
        <v/>
      </c>
      <c r="Q260" s="36">
        <f>(1+CF_Yield/12)^-A260</f>
        <v/>
      </c>
      <c r="R260" s="28">
        <f>P260*Q260</f>
        <v/>
      </c>
    </row>
    <row r="261">
      <c r="A261" s="26">
        <f>A260+1</f>
        <v/>
      </c>
      <c r="B261" s="28">
        <f>O260</f>
        <v/>
      </c>
      <c r="C261" s="33">
        <f>1-(1-CF_CPR)^(1/12)</f>
        <v/>
      </c>
      <c r="D261" s="33">
        <f>1-(1-CF_CDR)^(1/12)</f>
        <v/>
      </c>
      <c r="E261" s="28">
        <f>B261*D261</f>
        <v/>
      </c>
      <c r="F261" s="28">
        <f>B261-E261</f>
        <v/>
      </c>
      <c r="G261" s="28">
        <f>IF(F261&gt;0.005,PMT(WAC/12,Term-A261+1,-F261),0)</f>
        <v/>
      </c>
      <c r="H261" s="28">
        <f>F261*WAC/12</f>
        <v/>
      </c>
      <c r="I261" s="28">
        <f>F261*(WAC-ServFee)/12</f>
        <v/>
      </c>
      <c r="J261" s="28">
        <f>G261-H261</f>
        <v/>
      </c>
      <c r="K261" s="28">
        <f>(F261-J261)*C261</f>
        <v/>
      </c>
      <c r="L261" s="28">
        <f>E261*Severity</f>
        <v/>
      </c>
      <c r="M261" s="28">
        <f>E261-L261</f>
        <v/>
      </c>
      <c r="N261" s="28">
        <f>J261+K261+M261</f>
        <v/>
      </c>
      <c r="O261" s="28">
        <f>F261-J261-K261</f>
        <v/>
      </c>
      <c r="P261" s="28">
        <f>I261+N261</f>
        <v/>
      </c>
      <c r="Q261" s="36">
        <f>(1+CF_Yield/12)^-A261</f>
        <v/>
      </c>
      <c r="R261" s="28">
        <f>P261*Q261</f>
        <v/>
      </c>
    </row>
    <row r="262">
      <c r="A262" s="26">
        <f>A261+1</f>
        <v/>
      </c>
      <c r="B262" s="28">
        <f>O261</f>
        <v/>
      </c>
      <c r="C262" s="33">
        <f>1-(1-CF_CPR)^(1/12)</f>
        <v/>
      </c>
      <c r="D262" s="33">
        <f>1-(1-CF_CDR)^(1/12)</f>
        <v/>
      </c>
      <c r="E262" s="28">
        <f>B262*D262</f>
        <v/>
      </c>
      <c r="F262" s="28">
        <f>B262-E262</f>
        <v/>
      </c>
      <c r="G262" s="28">
        <f>IF(F262&gt;0.005,PMT(WAC/12,Term-A262+1,-F262),0)</f>
        <v/>
      </c>
      <c r="H262" s="28">
        <f>F262*WAC/12</f>
        <v/>
      </c>
      <c r="I262" s="28">
        <f>F262*(WAC-ServFee)/12</f>
        <v/>
      </c>
      <c r="J262" s="28">
        <f>G262-H262</f>
        <v/>
      </c>
      <c r="K262" s="28">
        <f>(F262-J262)*C262</f>
        <v/>
      </c>
      <c r="L262" s="28">
        <f>E262*Severity</f>
        <v/>
      </c>
      <c r="M262" s="28">
        <f>E262-L262</f>
        <v/>
      </c>
      <c r="N262" s="28">
        <f>J262+K262+M262</f>
        <v/>
      </c>
      <c r="O262" s="28">
        <f>F262-J262-K262</f>
        <v/>
      </c>
      <c r="P262" s="28">
        <f>I262+N262</f>
        <v/>
      </c>
      <c r="Q262" s="36">
        <f>(1+CF_Yield/12)^-A262</f>
        <v/>
      </c>
      <c r="R262" s="28">
        <f>P262*Q262</f>
        <v/>
      </c>
    </row>
    <row r="263">
      <c r="A263" s="26">
        <f>A262+1</f>
        <v/>
      </c>
      <c r="B263" s="28">
        <f>O262</f>
        <v/>
      </c>
      <c r="C263" s="33">
        <f>1-(1-CF_CPR)^(1/12)</f>
        <v/>
      </c>
      <c r="D263" s="33">
        <f>1-(1-CF_CDR)^(1/12)</f>
        <v/>
      </c>
      <c r="E263" s="28">
        <f>B263*D263</f>
        <v/>
      </c>
      <c r="F263" s="28">
        <f>B263-E263</f>
        <v/>
      </c>
      <c r="G263" s="28">
        <f>IF(F263&gt;0.005,PMT(WAC/12,Term-A263+1,-F263),0)</f>
        <v/>
      </c>
      <c r="H263" s="28">
        <f>F263*WAC/12</f>
        <v/>
      </c>
      <c r="I263" s="28">
        <f>F263*(WAC-ServFee)/12</f>
        <v/>
      </c>
      <c r="J263" s="28">
        <f>G263-H263</f>
        <v/>
      </c>
      <c r="K263" s="28">
        <f>(F263-J263)*C263</f>
        <v/>
      </c>
      <c r="L263" s="28">
        <f>E263*Severity</f>
        <v/>
      </c>
      <c r="M263" s="28">
        <f>E263-L263</f>
        <v/>
      </c>
      <c r="N263" s="28">
        <f>J263+K263+M263</f>
        <v/>
      </c>
      <c r="O263" s="28">
        <f>F263-J263-K263</f>
        <v/>
      </c>
      <c r="P263" s="28">
        <f>I263+N263</f>
        <v/>
      </c>
      <c r="Q263" s="36">
        <f>(1+CF_Yield/12)^-A263</f>
        <v/>
      </c>
      <c r="R263" s="28">
        <f>P263*Q263</f>
        <v/>
      </c>
    </row>
    <row r="264">
      <c r="A264" s="26">
        <f>A263+1</f>
        <v/>
      </c>
      <c r="B264" s="28">
        <f>O263</f>
        <v/>
      </c>
      <c r="C264" s="33">
        <f>1-(1-CF_CPR)^(1/12)</f>
        <v/>
      </c>
      <c r="D264" s="33">
        <f>1-(1-CF_CDR)^(1/12)</f>
        <v/>
      </c>
      <c r="E264" s="28">
        <f>B264*D264</f>
        <v/>
      </c>
      <c r="F264" s="28">
        <f>B264-E264</f>
        <v/>
      </c>
      <c r="G264" s="28">
        <f>IF(F264&gt;0.005,PMT(WAC/12,Term-A264+1,-F264),0)</f>
        <v/>
      </c>
      <c r="H264" s="28">
        <f>F264*WAC/12</f>
        <v/>
      </c>
      <c r="I264" s="28">
        <f>F264*(WAC-ServFee)/12</f>
        <v/>
      </c>
      <c r="J264" s="28">
        <f>G264-H264</f>
        <v/>
      </c>
      <c r="K264" s="28">
        <f>(F264-J264)*C264</f>
        <v/>
      </c>
      <c r="L264" s="28">
        <f>E264*Severity</f>
        <v/>
      </c>
      <c r="M264" s="28">
        <f>E264-L264</f>
        <v/>
      </c>
      <c r="N264" s="28">
        <f>J264+K264+M264</f>
        <v/>
      </c>
      <c r="O264" s="28">
        <f>F264-J264-K264</f>
        <v/>
      </c>
      <c r="P264" s="28">
        <f>I264+N264</f>
        <v/>
      </c>
      <c r="Q264" s="36">
        <f>(1+CF_Yield/12)^-A264</f>
        <v/>
      </c>
      <c r="R264" s="28">
        <f>P264*Q264</f>
        <v/>
      </c>
    </row>
    <row r="265">
      <c r="A265" s="26">
        <f>A264+1</f>
        <v/>
      </c>
      <c r="B265" s="28">
        <f>O264</f>
        <v/>
      </c>
      <c r="C265" s="33">
        <f>1-(1-CF_CPR)^(1/12)</f>
        <v/>
      </c>
      <c r="D265" s="33">
        <f>1-(1-CF_CDR)^(1/12)</f>
        <v/>
      </c>
      <c r="E265" s="28">
        <f>B265*D265</f>
        <v/>
      </c>
      <c r="F265" s="28">
        <f>B265-E265</f>
        <v/>
      </c>
      <c r="G265" s="28">
        <f>IF(F265&gt;0.005,PMT(WAC/12,Term-A265+1,-F265),0)</f>
        <v/>
      </c>
      <c r="H265" s="28">
        <f>F265*WAC/12</f>
        <v/>
      </c>
      <c r="I265" s="28">
        <f>F265*(WAC-ServFee)/12</f>
        <v/>
      </c>
      <c r="J265" s="28">
        <f>G265-H265</f>
        <v/>
      </c>
      <c r="K265" s="28">
        <f>(F265-J265)*C265</f>
        <v/>
      </c>
      <c r="L265" s="28">
        <f>E265*Severity</f>
        <v/>
      </c>
      <c r="M265" s="28">
        <f>E265-L265</f>
        <v/>
      </c>
      <c r="N265" s="28">
        <f>J265+K265+M265</f>
        <v/>
      </c>
      <c r="O265" s="28">
        <f>F265-J265-K265</f>
        <v/>
      </c>
      <c r="P265" s="28">
        <f>I265+N265</f>
        <v/>
      </c>
      <c r="Q265" s="36">
        <f>(1+CF_Yield/12)^-A265</f>
        <v/>
      </c>
      <c r="R265" s="28">
        <f>P265*Q265</f>
        <v/>
      </c>
    </row>
    <row r="266">
      <c r="A266" s="26">
        <f>A265+1</f>
        <v/>
      </c>
      <c r="B266" s="28">
        <f>O265</f>
        <v/>
      </c>
      <c r="C266" s="33">
        <f>1-(1-CF_CPR)^(1/12)</f>
        <v/>
      </c>
      <c r="D266" s="33">
        <f>1-(1-CF_CDR)^(1/12)</f>
        <v/>
      </c>
      <c r="E266" s="28">
        <f>B266*D266</f>
        <v/>
      </c>
      <c r="F266" s="28">
        <f>B266-E266</f>
        <v/>
      </c>
      <c r="G266" s="28">
        <f>IF(F266&gt;0.005,PMT(WAC/12,Term-A266+1,-F266),0)</f>
        <v/>
      </c>
      <c r="H266" s="28">
        <f>F266*WAC/12</f>
        <v/>
      </c>
      <c r="I266" s="28">
        <f>F266*(WAC-ServFee)/12</f>
        <v/>
      </c>
      <c r="J266" s="28">
        <f>G266-H266</f>
        <v/>
      </c>
      <c r="K266" s="28">
        <f>(F266-J266)*C266</f>
        <v/>
      </c>
      <c r="L266" s="28">
        <f>E266*Severity</f>
        <v/>
      </c>
      <c r="M266" s="28">
        <f>E266-L266</f>
        <v/>
      </c>
      <c r="N266" s="28">
        <f>J266+K266+M266</f>
        <v/>
      </c>
      <c r="O266" s="28">
        <f>F266-J266-K266</f>
        <v/>
      </c>
      <c r="P266" s="28">
        <f>I266+N266</f>
        <v/>
      </c>
      <c r="Q266" s="36">
        <f>(1+CF_Yield/12)^-A266</f>
        <v/>
      </c>
      <c r="R266" s="28">
        <f>P266*Q266</f>
        <v/>
      </c>
    </row>
    <row r="267">
      <c r="A267" s="26">
        <f>A266+1</f>
        <v/>
      </c>
      <c r="B267" s="28">
        <f>O266</f>
        <v/>
      </c>
      <c r="C267" s="33">
        <f>1-(1-CF_CPR)^(1/12)</f>
        <v/>
      </c>
      <c r="D267" s="33">
        <f>1-(1-CF_CDR)^(1/12)</f>
        <v/>
      </c>
      <c r="E267" s="28">
        <f>B267*D267</f>
        <v/>
      </c>
      <c r="F267" s="28">
        <f>B267-E267</f>
        <v/>
      </c>
      <c r="G267" s="28">
        <f>IF(F267&gt;0.005,PMT(WAC/12,Term-A267+1,-F267),0)</f>
        <v/>
      </c>
      <c r="H267" s="28">
        <f>F267*WAC/12</f>
        <v/>
      </c>
      <c r="I267" s="28">
        <f>F267*(WAC-ServFee)/12</f>
        <v/>
      </c>
      <c r="J267" s="28">
        <f>G267-H267</f>
        <v/>
      </c>
      <c r="K267" s="28">
        <f>(F267-J267)*C267</f>
        <v/>
      </c>
      <c r="L267" s="28">
        <f>E267*Severity</f>
        <v/>
      </c>
      <c r="M267" s="28">
        <f>E267-L267</f>
        <v/>
      </c>
      <c r="N267" s="28">
        <f>J267+K267+M267</f>
        <v/>
      </c>
      <c r="O267" s="28">
        <f>F267-J267-K267</f>
        <v/>
      </c>
      <c r="P267" s="28">
        <f>I267+N267</f>
        <v/>
      </c>
      <c r="Q267" s="36">
        <f>(1+CF_Yield/12)^-A267</f>
        <v/>
      </c>
      <c r="R267" s="28">
        <f>P267*Q267</f>
        <v/>
      </c>
    </row>
    <row r="268">
      <c r="A268" s="26">
        <f>A267+1</f>
        <v/>
      </c>
      <c r="B268" s="28">
        <f>O267</f>
        <v/>
      </c>
      <c r="C268" s="33">
        <f>1-(1-CF_CPR)^(1/12)</f>
        <v/>
      </c>
      <c r="D268" s="33">
        <f>1-(1-CF_CDR)^(1/12)</f>
        <v/>
      </c>
      <c r="E268" s="28">
        <f>B268*D268</f>
        <v/>
      </c>
      <c r="F268" s="28">
        <f>B268-E268</f>
        <v/>
      </c>
      <c r="G268" s="28">
        <f>IF(F268&gt;0.005,PMT(WAC/12,Term-A268+1,-F268),0)</f>
        <v/>
      </c>
      <c r="H268" s="28">
        <f>F268*WAC/12</f>
        <v/>
      </c>
      <c r="I268" s="28">
        <f>F268*(WAC-ServFee)/12</f>
        <v/>
      </c>
      <c r="J268" s="28">
        <f>G268-H268</f>
        <v/>
      </c>
      <c r="K268" s="28">
        <f>(F268-J268)*C268</f>
        <v/>
      </c>
      <c r="L268" s="28">
        <f>E268*Severity</f>
        <v/>
      </c>
      <c r="M268" s="28">
        <f>E268-L268</f>
        <v/>
      </c>
      <c r="N268" s="28">
        <f>J268+K268+M268</f>
        <v/>
      </c>
      <c r="O268" s="28">
        <f>F268-J268-K268</f>
        <v/>
      </c>
      <c r="P268" s="28">
        <f>I268+N268</f>
        <v/>
      </c>
      <c r="Q268" s="36">
        <f>(1+CF_Yield/12)^-A268</f>
        <v/>
      </c>
      <c r="R268" s="28">
        <f>P268*Q268</f>
        <v/>
      </c>
    </row>
    <row r="269">
      <c r="A269" s="26">
        <f>A268+1</f>
        <v/>
      </c>
      <c r="B269" s="28">
        <f>O268</f>
        <v/>
      </c>
      <c r="C269" s="33">
        <f>1-(1-CF_CPR)^(1/12)</f>
        <v/>
      </c>
      <c r="D269" s="33">
        <f>1-(1-CF_CDR)^(1/12)</f>
        <v/>
      </c>
      <c r="E269" s="28">
        <f>B269*D269</f>
        <v/>
      </c>
      <c r="F269" s="28">
        <f>B269-E269</f>
        <v/>
      </c>
      <c r="G269" s="28">
        <f>IF(F269&gt;0.005,PMT(WAC/12,Term-A269+1,-F269),0)</f>
        <v/>
      </c>
      <c r="H269" s="28">
        <f>F269*WAC/12</f>
        <v/>
      </c>
      <c r="I269" s="28">
        <f>F269*(WAC-ServFee)/12</f>
        <v/>
      </c>
      <c r="J269" s="28">
        <f>G269-H269</f>
        <v/>
      </c>
      <c r="K269" s="28">
        <f>(F269-J269)*C269</f>
        <v/>
      </c>
      <c r="L269" s="28">
        <f>E269*Severity</f>
        <v/>
      </c>
      <c r="M269" s="28">
        <f>E269-L269</f>
        <v/>
      </c>
      <c r="N269" s="28">
        <f>J269+K269+M269</f>
        <v/>
      </c>
      <c r="O269" s="28">
        <f>F269-J269-K269</f>
        <v/>
      </c>
      <c r="P269" s="28">
        <f>I269+N269</f>
        <v/>
      </c>
      <c r="Q269" s="36">
        <f>(1+CF_Yield/12)^-A269</f>
        <v/>
      </c>
      <c r="R269" s="28">
        <f>P269*Q269</f>
        <v/>
      </c>
    </row>
    <row r="270">
      <c r="A270" s="26">
        <f>A269+1</f>
        <v/>
      </c>
      <c r="B270" s="28">
        <f>O269</f>
        <v/>
      </c>
      <c r="C270" s="33">
        <f>1-(1-CF_CPR)^(1/12)</f>
        <v/>
      </c>
      <c r="D270" s="33">
        <f>1-(1-CF_CDR)^(1/12)</f>
        <v/>
      </c>
      <c r="E270" s="28">
        <f>B270*D270</f>
        <v/>
      </c>
      <c r="F270" s="28">
        <f>B270-E270</f>
        <v/>
      </c>
      <c r="G270" s="28">
        <f>IF(F270&gt;0.005,PMT(WAC/12,Term-A270+1,-F270),0)</f>
        <v/>
      </c>
      <c r="H270" s="28">
        <f>F270*WAC/12</f>
        <v/>
      </c>
      <c r="I270" s="28">
        <f>F270*(WAC-ServFee)/12</f>
        <v/>
      </c>
      <c r="J270" s="28">
        <f>G270-H270</f>
        <v/>
      </c>
      <c r="K270" s="28">
        <f>(F270-J270)*C270</f>
        <v/>
      </c>
      <c r="L270" s="28">
        <f>E270*Severity</f>
        <v/>
      </c>
      <c r="M270" s="28">
        <f>E270-L270</f>
        <v/>
      </c>
      <c r="N270" s="28">
        <f>J270+K270+M270</f>
        <v/>
      </c>
      <c r="O270" s="28">
        <f>F270-J270-K270</f>
        <v/>
      </c>
      <c r="P270" s="28">
        <f>I270+N270</f>
        <v/>
      </c>
      <c r="Q270" s="36">
        <f>(1+CF_Yield/12)^-A270</f>
        <v/>
      </c>
      <c r="R270" s="28">
        <f>P270*Q270</f>
        <v/>
      </c>
    </row>
    <row r="271">
      <c r="A271" s="26">
        <f>A270+1</f>
        <v/>
      </c>
      <c r="B271" s="28">
        <f>O270</f>
        <v/>
      </c>
      <c r="C271" s="33">
        <f>1-(1-CF_CPR)^(1/12)</f>
        <v/>
      </c>
      <c r="D271" s="33">
        <f>1-(1-CF_CDR)^(1/12)</f>
        <v/>
      </c>
      <c r="E271" s="28">
        <f>B271*D271</f>
        <v/>
      </c>
      <c r="F271" s="28">
        <f>B271-E271</f>
        <v/>
      </c>
      <c r="G271" s="28">
        <f>IF(F271&gt;0.005,PMT(WAC/12,Term-A271+1,-F271),0)</f>
        <v/>
      </c>
      <c r="H271" s="28">
        <f>F271*WAC/12</f>
        <v/>
      </c>
      <c r="I271" s="28">
        <f>F271*(WAC-ServFee)/12</f>
        <v/>
      </c>
      <c r="J271" s="28">
        <f>G271-H271</f>
        <v/>
      </c>
      <c r="K271" s="28">
        <f>(F271-J271)*C271</f>
        <v/>
      </c>
      <c r="L271" s="28">
        <f>E271*Severity</f>
        <v/>
      </c>
      <c r="M271" s="28">
        <f>E271-L271</f>
        <v/>
      </c>
      <c r="N271" s="28">
        <f>J271+K271+M271</f>
        <v/>
      </c>
      <c r="O271" s="28">
        <f>F271-J271-K271</f>
        <v/>
      </c>
      <c r="P271" s="28">
        <f>I271+N271</f>
        <v/>
      </c>
      <c r="Q271" s="36">
        <f>(1+CF_Yield/12)^-A271</f>
        <v/>
      </c>
      <c r="R271" s="28">
        <f>P271*Q271</f>
        <v/>
      </c>
    </row>
    <row r="272">
      <c r="A272" s="26">
        <f>A271+1</f>
        <v/>
      </c>
      <c r="B272" s="28">
        <f>O271</f>
        <v/>
      </c>
      <c r="C272" s="33">
        <f>1-(1-CF_CPR)^(1/12)</f>
        <v/>
      </c>
      <c r="D272" s="33">
        <f>1-(1-CF_CDR)^(1/12)</f>
        <v/>
      </c>
      <c r="E272" s="28">
        <f>B272*D272</f>
        <v/>
      </c>
      <c r="F272" s="28">
        <f>B272-E272</f>
        <v/>
      </c>
      <c r="G272" s="28">
        <f>IF(F272&gt;0.005,PMT(WAC/12,Term-A272+1,-F272),0)</f>
        <v/>
      </c>
      <c r="H272" s="28">
        <f>F272*WAC/12</f>
        <v/>
      </c>
      <c r="I272" s="28">
        <f>F272*(WAC-ServFee)/12</f>
        <v/>
      </c>
      <c r="J272" s="28">
        <f>G272-H272</f>
        <v/>
      </c>
      <c r="K272" s="28">
        <f>(F272-J272)*C272</f>
        <v/>
      </c>
      <c r="L272" s="28">
        <f>E272*Severity</f>
        <v/>
      </c>
      <c r="M272" s="28">
        <f>E272-L272</f>
        <v/>
      </c>
      <c r="N272" s="28">
        <f>J272+K272+M272</f>
        <v/>
      </c>
      <c r="O272" s="28">
        <f>F272-J272-K272</f>
        <v/>
      </c>
      <c r="P272" s="28">
        <f>I272+N272</f>
        <v/>
      </c>
      <c r="Q272" s="36">
        <f>(1+CF_Yield/12)^-A272</f>
        <v/>
      </c>
      <c r="R272" s="28">
        <f>P272*Q272</f>
        <v/>
      </c>
    </row>
    <row r="273">
      <c r="A273" s="26">
        <f>A272+1</f>
        <v/>
      </c>
      <c r="B273" s="28">
        <f>O272</f>
        <v/>
      </c>
      <c r="C273" s="33">
        <f>1-(1-CF_CPR)^(1/12)</f>
        <v/>
      </c>
      <c r="D273" s="33">
        <f>1-(1-CF_CDR)^(1/12)</f>
        <v/>
      </c>
      <c r="E273" s="28">
        <f>B273*D273</f>
        <v/>
      </c>
      <c r="F273" s="28">
        <f>B273-E273</f>
        <v/>
      </c>
      <c r="G273" s="28">
        <f>IF(F273&gt;0.005,PMT(WAC/12,Term-A273+1,-F273),0)</f>
        <v/>
      </c>
      <c r="H273" s="28">
        <f>F273*WAC/12</f>
        <v/>
      </c>
      <c r="I273" s="28">
        <f>F273*(WAC-ServFee)/12</f>
        <v/>
      </c>
      <c r="J273" s="28">
        <f>G273-H273</f>
        <v/>
      </c>
      <c r="K273" s="28">
        <f>(F273-J273)*C273</f>
        <v/>
      </c>
      <c r="L273" s="28">
        <f>E273*Severity</f>
        <v/>
      </c>
      <c r="M273" s="28">
        <f>E273-L273</f>
        <v/>
      </c>
      <c r="N273" s="28">
        <f>J273+K273+M273</f>
        <v/>
      </c>
      <c r="O273" s="28">
        <f>F273-J273-K273</f>
        <v/>
      </c>
      <c r="P273" s="28">
        <f>I273+N273</f>
        <v/>
      </c>
      <c r="Q273" s="36">
        <f>(1+CF_Yield/12)^-A273</f>
        <v/>
      </c>
      <c r="R273" s="28">
        <f>P273*Q273</f>
        <v/>
      </c>
    </row>
    <row r="274">
      <c r="A274" s="26">
        <f>A273+1</f>
        <v/>
      </c>
      <c r="B274" s="28">
        <f>O273</f>
        <v/>
      </c>
      <c r="C274" s="33">
        <f>1-(1-CF_CPR)^(1/12)</f>
        <v/>
      </c>
      <c r="D274" s="33">
        <f>1-(1-CF_CDR)^(1/12)</f>
        <v/>
      </c>
      <c r="E274" s="28">
        <f>B274*D274</f>
        <v/>
      </c>
      <c r="F274" s="28">
        <f>B274-E274</f>
        <v/>
      </c>
      <c r="G274" s="28">
        <f>IF(F274&gt;0.005,PMT(WAC/12,Term-A274+1,-F274),0)</f>
        <v/>
      </c>
      <c r="H274" s="28">
        <f>F274*WAC/12</f>
        <v/>
      </c>
      <c r="I274" s="28">
        <f>F274*(WAC-ServFee)/12</f>
        <v/>
      </c>
      <c r="J274" s="28">
        <f>G274-H274</f>
        <v/>
      </c>
      <c r="K274" s="28">
        <f>(F274-J274)*C274</f>
        <v/>
      </c>
      <c r="L274" s="28">
        <f>E274*Severity</f>
        <v/>
      </c>
      <c r="M274" s="28">
        <f>E274-L274</f>
        <v/>
      </c>
      <c r="N274" s="28">
        <f>J274+K274+M274</f>
        <v/>
      </c>
      <c r="O274" s="28">
        <f>F274-J274-K274</f>
        <v/>
      </c>
      <c r="P274" s="28">
        <f>I274+N274</f>
        <v/>
      </c>
      <c r="Q274" s="36">
        <f>(1+CF_Yield/12)^-A274</f>
        <v/>
      </c>
      <c r="R274" s="28">
        <f>P274*Q274</f>
        <v/>
      </c>
    </row>
    <row r="275">
      <c r="A275" s="26">
        <f>A274+1</f>
        <v/>
      </c>
      <c r="B275" s="28">
        <f>O274</f>
        <v/>
      </c>
      <c r="C275" s="33">
        <f>1-(1-CF_CPR)^(1/12)</f>
        <v/>
      </c>
      <c r="D275" s="33">
        <f>1-(1-CF_CDR)^(1/12)</f>
        <v/>
      </c>
      <c r="E275" s="28">
        <f>B275*D275</f>
        <v/>
      </c>
      <c r="F275" s="28">
        <f>B275-E275</f>
        <v/>
      </c>
      <c r="G275" s="28">
        <f>IF(F275&gt;0.005,PMT(WAC/12,Term-A275+1,-F275),0)</f>
        <v/>
      </c>
      <c r="H275" s="28">
        <f>F275*WAC/12</f>
        <v/>
      </c>
      <c r="I275" s="28">
        <f>F275*(WAC-ServFee)/12</f>
        <v/>
      </c>
      <c r="J275" s="28">
        <f>G275-H275</f>
        <v/>
      </c>
      <c r="K275" s="28">
        <f>(F275-J275)*C275</f>
        <v/>
      </c>
      <c r="L275" s="28">
        <f>E275*Severity</f>
        <v/>
      </c>
      <c r="M275" s="28">
        <f>E275-L275</f>
        <v/>
      </c>
      <c r="N275" s="28">
        <f>J275+K275+M275</f>
        <v/>
      </c>
      <c r="O275" s="28">
        <f>F275-J275-K275</f>
        <v/>
      </c>
      <c r="P275" s="28">
        <f>I275+N275</f>
        <v/>
      </c>
      <c r="Q275" s="36">
        <f>(1+CF_Yield/12)^-A275</f>
        <v/>
      </c>
      <c r="R275" s="28">
        <f>P275*Q275</f>
        <v/>
      </c>
    </row>
    <row r="276">
      <c r="A276" s="26">
        <f>A275+1</f>
        <v/>
      </c>
      <c r="B276" s="28">
        <f>O275</f>
        <v/>
      </c>
      <c r="C276" s="33">
        <f>1-(1-CF_CPR)^(1/12)</f>
        <v/>
      </c>
      <c r="D276" s="33">
        <f>1-(1-CF_CDR)^(1/12)</f>
        <v/>
      </c>
      <c r="E276" s="28">
        <f>B276*D276</f>
        <v/>
      </c>
      <c r="F276" s="28">
        <f>B276-E276</f>
        <v/>
      </c>
      <c r="G276" s="28">
        <f>IF(F276&gt;0.005,PMT(WAC/12,Term-A276+1,-F276),0)</f>
        <v/>
      </c>
      <c r="H276" s="28">
        <f>F276*WAC/12</f>
        <v/>
      </c>
      <c r="I276" s="28">
        <f>F276*(WAC-ServFee)/12</f>
        <v/>
      </c>
      <c r="J276" s="28">
        <f>G276-H276</f>
        <v/>
      </c>
      <c r="K276" s="28">
        <f>(F276-J276)*C276</f>
        <v/>
      </c>
      <c r="L276" s="28">
        <f>E276*Severity</f>
        <v/>
      </c>
      <c r="M276" s="28">
        <f>E276-L276</f>
        <v/>
      </c>
      <c r="N276" s="28">
        <f>J276+K276+M276</f>
        <v/>
      </c>
      <c r="O276" s="28">
        <f>F276-J276-K276</f>
        <v/>
      </c>
      <c r="P276" s="28">
        <f>I276+N276</f>
        <v/>
      </c>
      <c r="Q276" s="36">
        <f>(1+CF_Yield/12)^-A276</f>
        <v/>
      </c>
      <c r="R276" s="28">
        <f>P276*Q276</f>
        <v/>
      </c>
    </row>
    <row r="277">
      <c r="A277" s="26">
        <f>A276+1</f>
        <v/>
      </c>
      <c r="B277" s="28">
        <f>O276</f>
        <v/>
      </c>
      <c r="C277" s="33">
        <f>1-(1-CF_CPR)^(1/12)</f>
        <v/>
      </c>
      <c r="D277" s="33">
        <f>1-(1-CF_CDR)^(1/12)</f>
        <v/>
      </c>
      <c r="E277" s="28">
        <f>B277*D277</f>
        <v/>
      </c>
      <c r="F277" s="28">
        <f>B277-E277</f>
        <v/>
      </c>
      <c r="G277" s="28">
        <f>IF(F277&gt;0.005,PMT(WAC/12,Term-A277+1,-F277),0)</f>
        <v/>
      </c>
      <c r="H277" s="28">
        <f>F277*WAC/12</f>
        <v/>
      </c>
      <c r="I277" s="28">
        <f>F277*(WAC-ServFee)/12</f>
        <v/>
      </c>
      <c r="J277" s="28">
        <f>G277-H277</f>
        <v/>
      </c>
      <c r="K277" s="28">
        <f>(F277-J277)*C277</f>
        <v/>
      </c>
      <c r="L277" s="28">
        <f>E277*Severity</f>
        <v/>
      </c>
      <c r="M277" s="28">
        <f>E277-L277</f>
        <v/>
      </c>
      <c r="N277" s="28">
        <f>J277+K277+M277</f>
        <v/>
      </c>
      <c r="O277" s="28">
        <f>F277-J277-K277</f>
        <v/>
      </c>
      <c r="P277" s="28">
        <f>I277+N277</f>
        <v/>
      </c>
      <c r="Q277" s="36">
        <f>(1+CF_Yield/12)^-A277</f>
        <v/>
      </c>
      <c r="R277" s="28">
        <f>P277*Q277</f>
        <v/>
      </c>
    </row>
    <row r="278">
      <c r="A278" s="26">
        <f>A277+1</f>
        <v/>
      </c>
      <c r="B278" s="28">
        <f>O277</f>
        <v/>
      </c>
      <c r="C278" s="33">
        <f>1-(1-CF_CPR)^(1/12)</f>
        <v/>
      </c>
      <c r="D278" s="33">
        <f>1-(1-CF_CDR)^(1/12)</f>
        <v/>
      </c>
      <c r="E278" s="28">
        <f>B278*D278</f>
        <v/>
      </c>
      <c r="F278" s="28">
        <f>B278-E278</f>
        <v/>
      </c>
      <c r="G278" s="28">
        <f>IF(F278&gt;0.005,PMT(WAC/12,Term-A278+1,-F278),0)</f>
        <v/>
      </c>
      <c r="H278" s="28">
        <f>F278*WAC/12</f>
        <v/>
      </c>
      <c r="I278" s="28">
        <f>F278*(WAC-ServFee)/12</f>
        <v/>
      </c>
      <c r="J278" s="28">
        <f>G278-H278</f>
        <v/>
      </c>
      <c r="K278" s="28">
        <f>(F278-J278)*C278</f>
        <v/>
      </c>
      <c r="L278" s="28">
        <f>E278*Severity</f>
        <v/>
      </c>
      <c r="M278" s="28">
        <f>E278-L278</f>
        <v/>
      </c>
      <c r="N278" s="28">
        <f>J278+K278+M278</f>
        <v/>
      </c>
      <c r="O278" s="28">
        <f>F278-J278-K278</f>
        <v/>
      </c>
      <c r="P278" s="28">
        <f>I278+N278</f>
        <v/>
      </c>
      <c r="Q278" s="36">
        <f>(1+CF_Yield/12)^-A278</f>
        <v/>
      </c>
      <c r="R278" s="28">
        <f>P278*Q278</f>
        <v/>
      </c>
    </row>
    <row r="279">
      <c r="A279" s="26">
        <f>A278+1</f>
        <v/>
      </c>
      <c r="B279" s="28">
        <f>O278</f>
        <v/>
      </c>
      <c r="C279" s="33">
        <f>1-(1-CF_CPR)^(1/12)</f>
        <v/>
      </c>
      <c r="D279" s="33">
        <f>1-(1-CF_CDR)^(1/12)</f>
        <v/>
      </c>
      <c r="E279" s="28">
        <f>B279*D279</f>
        <v/>
      </c>
      <c r="F279" s="28">
        <f>B279-E279</f>
        <v/>
      </c>
      <c r="G279" s="28">
        <f>IF(F279&gt;0.005,PMT(WAC/12,Term-A279+1,-F279),0)</f>
        <v/>
      </c>
      <c r="H279" s="28">
        <f>F279*WAC/12</f>
        <v/>
      </c>
      <c r="I279" s="28">
        <f>F279*(WAC-ServFee)/12</f>
        <v/>
      </c>
      <c r="J279" s="28">
        <f>G279-H279</f>
        <v/>
      </c>
      <c r="K279" s="28">
        <f>(F279-J279)*C279</f>
        <v/>
      </c>
      <c r="L279" s="28">
        <f>E279*Severity</f>
        <v/>
      </c>
      <c r="M279" s="28">
        <f>E279-L279</f>
        <v/>
      </c>
      <c r="N279" s="28">
        <f>J279+K279+M279</f>
        <v/>
      </c>
      <c r="O279" s="28">
        <f>F279-J279-K279</f>
        <v/>
      </c>
      <c r="P279" s="28">
        <f>I279+N279</f>
        <v/>
      </c>
      <c r="Q279" s="36">
        <f>(1+CF_Yield/12)^-A279</f>
        <v/>
      </c>
      <c r="R279" s="28">
        <f>P279*Q279</f>
        <v/>
      </c>
    </row>
    <row r="280">
      <c r="A280" s="26">
        <f>A279+1</f>
        <v/>
      </c>
      <c r="B280" s="28">
        <f>O279</f>
        <v/>
      </c>
      <c r="C280" s="33">
        <f>1-(1-CF_CPR)^(1/12)</f>
        <v/>
      </c>
      <c r="D280" s="33">
        <f>1-(1-CF_CDR)^(1/12)</f>
        <v/>
      </c>
      <c r="E280" s="28">
        <f>B280*D280</f>
        <v/>
      </c>
      <c r="F280" s="28">
        <f>B280-E280</f>
        <v/>
      </c>
      <c r="G280" s="28">
        <f>IF(F280&gt;0.005,PMT(WAC/12,Term-A280+1,-F280),0)</f>
        <v/>
      </c>
      <c r="H280" s="28">
        <f>F280*WAC/12</f>
        <v/>
      </c>
      <c r="I280" s="28">
        <f>F280*(WAC-ServFee)/12</f>
        <v/>
      </c>
      <c r="J280" s="28">
        <f>G280-H280</f>
        <v/>
      </c>
      <c r="K280" s="28">
        <f>(F280-J280)*C280</f>
        <v/>
      </c>
      <c r="L280" s="28">
        <f>E280*Severity</f>
        <v/>
      </c>
      <c r="M280" s="28">
        <f>E280-L280</f>
        <v/>
      </c>
      <c r="N280" s="28">
        <f>J280+K280+M280</f>
        <v/>
      </c>
      <c r="O280" s="28">
        <f>F280-J280-K280</f>
        <v/>
      </c>
      <c r="P280" s="28">
        <f>I280+N280</f>
        <v/>
      </c>
      <c r="Q280" s="36">
        <f>(1+CF_Yield/12)^-A280</f>
        <v/>
      </c>
      <c r="R280" s="28">
        <f>P280*Q280</f>
        <v/>
      </c>
    </row>
    <row r="281">
      <c r="A281" s="26">
        <f>A280+1</f>
        <v/>
      </c>
      <c r="B281" s="28">
        <f>O280</f>
        <v/>
      </c>
      <c r="C281" s="33">
        <f>1-(1-CF_CPR)^(1/12)</f>
        <v/>
      </c>
      <c r="D281" s="33">
        <f>1-(1-CF_CDR)^(1/12)</f>
        <v/>
      </c>
      <c r="E281" s="28">
        <f>B281*D281</f>
        <v/>
      </c>
      <c r="F281" s="28">
        <f>B281-E281</f>
        <v/>
      </c>
      <c r="G281" s="28">
        <f>IF(F281&gt;0.005,PMT(WAC/12,Term-A281+1,-F281),0)</f>
        <v/>
      </c>
      <c r="H281" s="28">
        <f>F281*WAC/12</f>
        <v/>
      </c>
      <c r="I281" s="28">
        <f>F281*(WAC-ServFee)/12</f>
        <v/>
      </c>
      <c r="J281" s="28">
        <f>G281-H281</f>
        <v/>
      </c>
      <c r="K281" s="28">
        <f>(F281-J281)*C281</f>
        <v/>
      </c>
      <c r="L281" s="28">
        <f>E281*Severity</f>
        <v/>
      </c>
      <c r="M281" s="28">
        <f>E281-L281</f>
        <v/>
      </c>
      <c r="N281" s="28">
        <f>J281+K281+M281</f>
        <v/>
      </c>
      <c r="O281" s="28">
        <f>F281-J281-K281</f>
        <v/>
      </c>
      <c r="P281" s="28">
        <f>I281+N281</f>
        <v/>
      </c>
      <c r="Q281" s="36">
        <f>(1+CF_Yield/12)^-A281</f>
        <v/>
      </c>
      <c r="R281" s="28">
        <f>P281*Q281</f>
        <v/>
      </c>
    </row>
    <row r="282">
      <c r="A282" s="26">
        <f>A281+1</f>
        <v/>
      </c>
      <c r="B282" s="28">
        <f>O281</f>
        <v/>
      </c>
      <c r="C282" s="33">
        <f>1-(1-CF_CPR)^(1/12)</f>
        <v/>
      </c>
      <c r="D282" s="33">
        <f>1-(1-CF_CDR)^(1/12)</f>
        <v/>
      </c>
      <c r="E282" s="28">
        <f>B282*D282</f>
        <v/>
      </c>
      <c r="F282" s="28">
        <f>B282-E282</f>
        <v/>
      </c>
      <c r="G282" s="28">
        <f>IF(F282&gt;0.005,PMT(WAC/12,Term-A282+1,-F282),0)</f>
        <v/>
      </c>
      <c r="H282" s="28">
        <f>F282*WAC/12</f>
        <v/>
      </c>
      <c r="I282" s="28">
        <f>F282*(WAC-ServFee)/12</f>
        <v/>
      </c>
      <c r="J282" s="28">
        <f>G282-H282</f>
        <v/>
      </c>
      <c r="K282" s="28">
        <f>(F282-J282)*C282</f>
        <v/>
      </c>
      <c r="L282" s="28">
        <f>E282*Severity</f>
        <v/>
      </c>
      <c r="M282" s="28">
        <f>E282-L282</f>
        <v/>
      </c>
      <c r="N282" s="28">
        <f>J282+K282+M282</f>
        <v/>
      </c>
      <c r="O282" s="28">
        <f>F282-J282-K282</f>
        <v/>
      </c>
      <c r="P282" s="28">
        <f>I282+N282</f>
        <v/>
      </c>
      <c r="Q282" s="36">
        <f>(1+CF_Yield/12)^-A282</f>
        <v/>
      </c>
      <c r="R282" s="28">
        <f>P282*Q282</f>
        <v/>
      </c>
    </row>
    <row r="283">
      <c r="A283" s="26">
        <f>A282+1</f>
        <v/>
      </c>
      <c r="B283" s="28">
        <f>O282</f>
        <v/>
      </c>
      <c r="C283" s="33">
        <f>1-(1-CF_CPR)^(1/12)</f>
        <v/>
      </c>
      <c r="D283" s="33">
        <f>1-(1-CF_CDR)^(1/12)</f>
        <v/>
      </c>
      <c r="E283" s="28">
        <f>B283*D283</f>
        <v/>
      </c>
      <c r="F283" s="28">
        <f>B283-E283</f>
        <v/>
      </c>
      <c r="G283" s="28">
        <f>IF(F283&gt;0.005,PMT(WAC/12,Term-A283+1,-F283),0)</f>
        <v/>
      </c>
      <c r="H283" s="28">
        <f>F283*WAC/12</f>
        <v/>
      </c>
      <c r="I283" s="28">
        <f>F283*(WAC-ServFee)/12</f>
        <v/>
      </c>
      <c r="J283" s="28">
        <f>G283-H283</f>
        <v/>
      </c>
      <c r="K283" s="28">
        <f>(F283-J283)*C283</f>
        <v/>
      </c>
      <c r="L283" s="28">
        <f>E283*Severity</f>
        <v/>
      </c>
      <c r="M283" s="28">
        <f>E283-L283</f>
        <v/>
      </c>
      <c r="N283" s="28">
        <f>J283+K283+M283</f>
        <v/>
      </c>
      <c r="O283" s="28">
        <f>F283-J283-K283</f>
        <v/>
      </c>
      <c r="P283" s="28">
        <f>I283+N283</f>
        <v/>
      </c>
      <c r="Q283" s="36">
        <f>(1+CF_Yield/12)^-A283</f>
        <v/>
      </c>
      <c r="R283" s="28">
        <f>P283*Q283</f>
        <v/>
      </c>
    </row>
    <row r="284">
      <c r="A284" s="26">
        <f>A283+1</f>
        <v/>
      </c>
      <c r="B284" s="28">
        <f>O283</f>
        <v/>
      </c>
      <c r="C284" s="33">
        <f>1-(1-CF_CPR)^(1/12)</f>
        <v/>
      </c>
      <c r="D284" s="33">
        <f>1-(1-CF_CDR)^(1/12)</f>
        <v/>
      </c>
      <c r="E284" s="28">
        <f>B284*D284</f>
        <v/>
      </c>
      <c r="F284" s="28">
        <f>B284-E284</f>
        <v/>
      </c>
      <c r="G284" s="28">
        <f>IF(F284&gt;0.005,PMT(WAC/12,Term-A284+1,-F284),0)</f>
        <v/>
      </c>
      <c r="H284" s="28">
        <f>F284*WAC/12</f>
        <v/>
      </c>
      <c r="I284" s="28">
        <f>F284*(WAC-ServFee)/12</f>
        <v/>
      </c>
      <c r="J284" s="28">
        <f>G284-H284</f>
        <v/>
      </c>
      <c r="K284" s="28">
        <f>(F284-J284)*C284</f>
        <v/>
      </c>
      <c r="L284" s="28">
        <f>E284*Severity</f>
        <v/>
      </c>
      <c r="M284" s="28">
        <f>E284-L284</f>
        <v/>
      </c>
      <c r="N284" s="28">
        <f>J284+K284+M284</f>
        <v/>
      </c>
      <c r="O284" s="28">
        <f>F284-J284-K284</f>
        <v/>
      </c>
      <c r="P284" s="28">
        <f>I284+N284</f>
        <v/>
      </c>
      <c r="Q284" s="36">
        <f>(1+CF_Yield/12)^-A284</f>
        <v/>
      </c>
      <c r="R284" s="28">
        <f>P284*Q284</f>
        <v/>
      </c>
    </row>
    <row r="285">
      <c r="A285" s="26">
        <f>A284+1</f>
        <v/>
      </c>
      <c r="B285" s="28">
        <f>O284</f>
        <v/>
      </c>
      <c r="C285" s="33">
        <f>1-(1-CF_CPR)^(1/12)</f>
        <v/>
      </c>
      <c r="D285" s="33">
        <f>1-(1-CF_CDR)^(1/12)</f>
        <v/>
      </c>
      <c r="E285" s="28">
        <f>B285*D285</f>
        <v/>
      </c>
      <c r="F285" s="28">
        <f>B285-E285</f>
        <v/>
      </c>
      <c r="G285" s="28">
        <f>IF(F285&gt;0.005,PMT(WAC/12,Term-A285+1,-F285),0)</f>
        <v/>
      </c>
      <c r="H285" s="28">
        <f>F285*WAC/12</f>
        <v/>
      </c>
      <c r="I285" s="28">
        <f>F285*(WAC-ServFee)/12</f>
        <v/>
      </c>
      <c r="J285" s="28">
        <f>G285-H285</f>
        <v/>
      </c>
      <c r="K285" s="28">
        <f>(F285-J285)*C285</f>
        <v/>
      </c>
      <c r="L285" s="28">
        <f>E285*Severity</f>
        <v/>
      </c>
      <c r="M285" s="28">
        <f>E285-L285</f>
        <v/>
      </c>
      <c r="N285" s="28">
        <f>J285+K285+M285</f>
        <v/>
      </c>
      <c r="O285" s="28">
        <f>F285-J285-K285</f>
        <v/>
      </c>
      <c r="P285" s="28">
        <f>I285+N285</f>
        <v/>
      </c>
      <c r="Q285" s="36">
        <f>(1+CF_Yield/12)^-A285</f>
        <v/>
      </c>
      <c r="R285" s="28">
        <f>P285*Q285</f>
        <v/>
      </c>
    </row>
    <row r="286">
      <c r="A286" s="26">
        <f>A285+1</f>
        <v/>
      </c>
      <c r="B286" s="28">
        <f>O285</f>
        <v/>
      </c>
      <c r="C286" s="33">
        <f>1-(1-CF_CPR)^(1/12)</f>
        <v/>
      </c>
      <c r="D286" s="33">
        <f>1-(1-CF_CDR)^(1/12)</f>
        <v/>
      </c>
      <c r="E286" s="28">
        <f>B286*D286</f>
        <v/>
      </c>
      <c r="F286" s="28">
        <f>B286-E286</f>
        <v/>
      </c>
      <c r="G286" s="28">
        <f>IF(F286&gt;0.005,PMT(WAC/12,Term-A286+1,-F286),0)</f>
        <v/>
      </c>
      <c r="H286" s="28">
        <f>F286*WAC/12</f>
        <v/>
      </c>
      <c r="I286" s="28">
        <f>F286*(WAC-ServFee)/12</f>
        <v/>
      </c>
      <c r="J286" s="28">
        <f>G286-H286</f>
        <v/>
      </c>
      <c r="K286" s="28">
        <f>(F286-J286)*C286</f>
        <v/>
      </c>
      <c r="L286" s="28">
        <f>E286*Severity</f>
        <v/>
      </c>
      <c r="M286" s="28">
        <f>E286-L286</f>
        <v/>
      </c>
      <c r="N286" s="28">
        <f>J286+K286+M286</f>
        <v/>
      </c>
      <c r="O286" s="28">
        <f>F286-J286-K286</f>
        <v/>
      </c>
      <c r="P286" s="28">
        <f>I286+N286</f>
        <v/>
      </c>
      <c r="Q286" s="36">
        <f>(1+CF_Yield/12)^-A286</f>
        <v/>
      </c>
      <c r="R286" s="28">
        <f>P286*Q286</f>
        <v/>
      </c>
    </row>
    <row r="287">
      <c r="A287" s="26">
        <f>A286+1</f>
        <v/>
      </c>
      <c r="B287" s="28">
        <f>O286</f>
        <v/>
      </c>
      <c r="C287" s="33">
        <f>1-(1-CF_CPR)^(1/12)</f>
        <v/>
      </c>
      <c r="D287" s="33">
        <f>1-(1-CF_CDR)^(1/12)</f>
        <v/>
      </c>
      <c r="E287" s="28">
        <f>B287*D287</f>
        <v/>
      </c>
      <c r="F287" s="28">
        <f>B287-E287</f>
        <v/>
      </c>
      <c r="G287" s="28">
        <f>IF(F287&gt;0.005,PMT(WAC/12,Term-A287+1,-F287),0)</f>
        <v/>
      </c>
      <c r="H287" s="28">
        <f>F287*WAC/12</f>
        <v/>
      </c>
      <c r="I287" s="28">
        <f>F287*(WAC-ServFee)/12</f>
        <v/>
      </c>
      <c r="J287" s="28">
        <f>G287-H287</f>
        <v/>
      </c>
      <c r="K287" s="28">
        <f>(F287-J287)*C287</f>
        <v/>
      </c>
      <c r="L287" s="28">
        <f>E287*Severity</f>
        <v/>
      </c>
      <c r="M287" s="28">
        <f>E287-L287</f>
        <v/>
      </c>
      <c r="N287" s="28">
        <f>J287+K287+M287</f>
        <v/>
      </c>
      <c r="O287" s="28">
        <f>F287-J287-K287</f>
        <v/>
      </c>
      <c r="P287" s="28">
        <f>I287+N287</f>
        <v/>
      </c>
      <c r="Q287" s="36">
        <f>(1+CF_Yield/12)^-A287</f>
        <v/>
      </c>
      <c r="R287" s="28">
        <f>P287*Q287</f>
        <v/>
      </c>
    </row>
    <row r="288">
      <c r="A288" s="26">
        <f>A287+1</f>
        <v/>
      </c>
      <c r="B288" s="28">
        <f>O287</f>
        <v/>
      </c>
      <c r="C288" s="33">
        <f>1-(1-CF_CPR)^(1/12)</f>
        <v/>
      </c>
      <c r="D288" s="33">
        <f>1-(1-CF_CDR)^(1/12)</f>
        <v/>
      </c>
      <c r="E288" s="28">
        <f>B288*D288</f>
        <v/>
      </c>
      <c r="F288" s="28">
        <f>B288-E288</f>
        <v/>
      </c>
      <c r="G288" s="28">
        <f>IF(F288&gt;0.005,PMT(WAC/12,Term-A288+1,-F288),0)</f>
        <v/>
      </c>
      <c r="H288" s="28">
        <f>F288*WAC/12</f>
        <v/>
      </c>
      <c r="I288" s="28">
        <f>F288*(WAC-ServFee)/12</f>
        <v/>
      </c>
      <c r="J288" s="28">
        <f>G288-H288</f>
        <v/>
      </c>
      <c r="K288" s="28">
        <f>(F288-J288)*C288</f>
        <v/>
      </c>
      <c r="L288" s="28">
        <f>E288*Severity</f>
        <v/>
      </c>
      <c r="M288" s="28">
        <f>E288-L288</f>
        <v/>
      </c>
      <c r="N288" s="28">
        <f>J288+K288+M288</f>
        <v/>
      </c>
      <c r="O288" s="28">
        <f>F288-J288-K288</f>
        <v/>
      </c>
      <c r="P288" s="28">
        <f>I288+N288</f>
        <v/>
      </c>
      <c r="Q288" s="36">
        <f>(1+CF_Yield/12)^-A288</f>
        <v/>
      </c>
      <c r="R288" s="28">
        <f>P288*Q288</f>
        <v/>
      </c>
    </row>
    <row r="289">
      <c r="A289" s="26">
        <f>A288+1</f>
        <v/>
      </c>
      <c r="B289" s="28">
        <f>O288</f>
        <v/>
      </c>
      <c r="C289" s="33">
        <f>1-(1-CF_CPR)^(1/12)</f>
        <v/>
      </c>
      <c r="D289" s="33">
        <f>1-(1-CF_CDR)^(1/12)</f>
        <v/>
      </c>
      <c r="E289" s="28">
        <f>B289*D289</f>
        <v/>
      </c>
      <c r="F289" s="28">
        <f>B289-E289</f>
        <v/>
      </c>
      <c r="G289" s="28">
        <f>IF(F289&gt;0.005,PMT(WAC/12,Term-A289+1,-F289),0)</f>
        <v/>
      </c>
      <c r="H289" s="28">
        <f>F289*WAC/12</f>
        <v/>
      </c>
      <c r="I289" s="28">
        <f>F289*(WAC-ServFee)/12</f>
        <v/>
      </c>
      <c r="J289" s="28">
        <f>G289-H289</f>
        <v/>
      </c>
      <c r="K289" s="28">
        <f>(F289-J289)*C289</f>
        <v/>
      </c>
      <c r="L289" s="28">
        <f>E289*Severity</f>
        <v/>
      </c>
      <c r="M289" s="28">
        <f>E289-L289</f>
        <v/>
      </c>
      <c r="N289" s="28">
        <f>J289+K289+M289</f>
        <v/>
      </c>
      <c r="O289" s="28">
        <f>F289-J289-K289</f>
        <v/>
      </c>
      <c r="P289" s="28">
        <f>I289+N289</f>
        <v/>
      </c>
      <c r="Q289" s="36">
        <f>(1+CF_Yield/12)^-A289</f>
        <v/>
      </c>
      <c r="R289" s="28">
        <f>P289*Q289</f>
        <v/>
      </c>
    </row>
    <row r="290">
      <c r="A290" s="26">
        <f>A289+1</f>
        <v/>
      </c>
      <c r="B290" s="28">
        <f>O289</f>
        <v/>
      </c>
      <c r="C290" s="33">
        <f>1-(1-CF_CPR)^(1/12)</f>
        <v/>
      </c>
      <c r="D290" s="33">
        <f>1-(1-CF_CDR)^(1/12)</f>
        <v/>
      </c>
      <c r="E290" s="28">
        <f>B290*D290</f>
        <v/>
      </c>
      <c r="F290" s="28">
        <f>B290-E290</f>
        <v/>
      </c>
      <c r="G290" s="28">
        <f>IF(F290&gt;0.005,PMT(WAC/12,Term-A290+1,-F290),0)</f>
        <v/>
      </c>
      <c r="H290" s="28">
        <f>F290*WAC/12</f>
        <v/>
      </c>
      <c r="I290" s="28">
        <f>F290*(WAC-ServFee)/12</f>
        <v/>
      </c>
      <c r="J290" s="28">
        <f>G290-H290</f>
        <v/>
      </c>
      <c r="K290" s="28">
        <f>(F290-J290)*C290</f>
        <v/>
      </c>
      <c r="L290" s="28">
        <f>E290*Severity</f>
        <v/>
      </c>
      <c r="M290" s="28">
        <f>E290-L290</f>
        <v/>
      </c>
      <c r="N290" s="28">
        <f>J290+K290+M290</f>
        <v/>
      </c>
      <c r="O290" s="28">
        <f>F290-J290-K290</f>
        <v/>
      </c>
      <c r="P290" s="28">
        <f>I290+N290</f>
        <v/>
      </c>
      <c r="Q290" s="36">
        <f>(1+CF_Yield/12)^-A290</f>
        <v/>
      </c>
      <c r="R290" s="28">
        <f>P290*Q290</f>
        <v/>
      </c>
    </row>
    <row r="291">
      <c r="A291" s="26">
        <f>A290+1</f>
        <v/>
      </c>
      <c r="B291" s="28">
        <f>O290</f>
        <v/>
      </c>
      <c r="C291" s="33">
        <f>1-(1-CF_CPR)^(1/12)</f>
        <v/>
      </c>
      <c r="D291" s="33">
        <f>1-(1-CF_CDR)^(1/12)</f>
        <v/>
      </c>
      <c r="E291" s="28">
        <f>B291*D291</f>
        <v/>
      </c>
      <c r="F291" s="28">
        <f>B291-E291</f>
        <v/>
      </c>
      <c r="G291" s="28">
        <f>IF(F291&gt;0.005,PMT(WAC/12,Term-A291+1,-F291),0)</f>
        <v/>
      </c>
      <c r="H291" s="28">
        <f>F291*WAC/12</f>
        <v/>
      </c>
      <c r="I291" s="28">
        <f>F291*(WAC-ServFee)/12</f>
        <v/>
      </c>
      <c r="J291" s="28">
        <f>G291-H291</f>
        <v/>
      </c>
      <c r="K291" s="28">
        <f>(F291-J291)*C291</f>
        <v/>
      </c>
      <c r="L291" s="28">
        <f>E291*Severity</f>
        <v/>
      </c>
      <c r="M291" s="28">
        <f>E291-L291</f>
        <v/>
      </c>
      <c r="N291" s="28">
        <f>J291+K291+M291</f>
        <v/>
      </c>
      <c r="O291" s="28">
        <f>F291-J291-K291</f>
        <v/>
      </c>
      <c r="P291" s="28">
        <f>I291+N291</f>
        <v/>
      </c>
      <c r="Q291" s="36">
        <f>(1+CF_Yield/12)^-A291</f>
        <v/>
      </c>
      <c r="R291" s="28">
        <f>P291*Q291</f>
        <v/>
      </c>
    </row>
    <row r="292">
      <c r="A292" s="26">
        <f>A291+1</f>
        <v/>
      </c>
      <c r="B292" s="28">
        <f>O291</f>
        <v/>
      </c>
      <c r="C292" s="33">
        <f>1-(1-CF_CPR)^(1/12)</f>
        <v/>
      </c>
      <c r="D292" s="33">
        <f>1-(1-CF_CDR)^(1/12)</f>
        <v/>
      </c>
      <c r="E292" s="28">
        <f>B292*D292</f>
        <v/>
      </c>
      <c r="F292" s="28">
        <f>B292-E292</f>
        <v/>
      </c>
      <c r="G292" s="28">
        <f>IF(F292&gt;0.005,PMT(WAC/12,Term-A292+1,-F292),0)</f>
        <v/>
      </c>
      <c r="H292" s="28">
        <f>F292*WAC/12</f>
        <v/>
      </c>
      <c r="I292" s="28">
        <f>F292*(WAC-ServFee)/12</f>
        <v/>
      </c>
      <c r="J292" s="28">
        <f>G292-H292</f>
        <v/>
      </c>
      <c r="K292" s="28">
        <f>(F292-J292)*C292</f>
        <v/>
      </c>
      <c r="L292" s="28">
        <f>E292*Severity</f>
        <v/>
      </c>
      <c r="M292" s="28">
        <f>E292-L292</f>
        <v/>
      </c>
      <c r="N292" s="28">
        <f>J292+K292+M292</f>
        <v/>
      </c>
      <c r="O292" s="28">
        <f>F292-J292-K292</f>
        <v/>
      </c>
      <c r="P292" s="28">
        <f>I292+N292</f>
        <v/>
      </c>
      <c r="Q292" s="36">
        <f>(1+CF_Yield/12)^-A292</f>
        <v/>
      </c>
      <c r="R292" s="28">
        <f>P292*Q292</f>
        <v/>
      </c>
    </row>
    <row r="293">
      <c r="A293" s="26">
        <f>A292+1</f>
        <v/>
      </c>
      <c r="B293" s="28">
        <f>O292</f>
        <v/>
      </c>
      <c r="C293" s="33">
        <f>1-(1-CF_CPR)^(1/12)</f>
        <v/>
      </c>
      <c r="D293" s="33">
        <f>1-(1-CF_CDR)^(1/12)</f>
        <v/>
      </c>
      <c r="E293" s="28">
        <f>B293*D293</f>
        <v/>
      </c>
      <c r="F293" s="28">
        <f>B293-E293</f>
        <v/>
      </c>
      <c r="G293" s="28">
        <f>IF(F293&gt;0.005,PMT(WAC/12,Term-A293+1,-F293),0)</f>
        <v/>
      </c>
      <c r="H293" s="28">
        <f>F293*WAC/12</f>
        <v/>
      </c>
      <c r="I293" s="28">
        <f>F293*(WAC-ServFee)/12</f>
        <v/>
      </c>
      <c r="J293" s="28">
        <f>G293-H293</f>
        <v/>
      </c>
      <c r="K293" s="28">
        <f>(F293-J293)*C293</f>
        <v/>
      </c>
      <c r="L293" s="28">
        <f>E293*Severity</f>
        <v/>
      </c>
      <c r="M293" s="28">
        <f>E293-L293</f>
        <v/>
      </c>
      <c r="N293" s="28">
        <f>J293+K293+M293</f>
        <v/>
      </c>
      <c r="O293" s="28">
        <f>F293-J293-K293</f>
        <v/>
      </c>
      <c r="P293" s="28">
        <f>I293+N293</f>
        <v/>
      </c>
      <c r="Q293" s="36">
        <f>(1+CF_Yield/12)^-A293</f>
        <v/>
      </c>
      <c r="R293" s="28">
        <f>P293*Q293</f>
        <v/>
      </c>
    </row>
    <row r="294">
      <c r="A294" s="26">
        <f>A293+1</f>
        <v/>
      </c>
      <c r="B294" s="28">
        <f>O293</f>
        <v/>
      </c>
      <c r="C294" s="33">
        <f>1-(1-CF_CPR)^(1/12)</f>
        <v/>
      </c>
      <c r="D294" s="33">
        <f>1-(1-CF_CDR)^(1/12)</f>
        <v/>
      </c>
      <c r="E294" s="28">
        <f>B294*D294</f>
        <v/>
      </c>
      <c r="F294" s="28">
        <f>B294-E294</f>
        <v/>
      </c>
      <c r="G294" s="28">
        <f>IF(F294&gt;0.005,PMT(WAC/12,Term-A294+1,-F294),0)</f>
        <v/>
      </c>
      <c r="H294" s="28">
        <f>F294*WAC/12</f>
        <v/>
      </c>
      <c r="I294" s="28">
        <f>F294*(WAC-ServFee)/12</f>
        <v/>
      </c>
      <c r="J294" s="28">
        <f>G294-H294</f>
        <v/>
      </c>
      <c r="K294" s="28">
        <f>(F294-J294)*C294</f>
        <v/>
      </c>
      <c r="L294" s="28">
        <f>E294*Severity</f>
        <v/>
      </c>
      <c r="M294" s="28">
        <f>E294-L294</f>
        <v/>
      </c>
      <c r="N294" s="28">
        <f>J294+K294+M294</f>
        <v/>
      </c>
      <c r="O294" s="28">
        <f>F294-J294-K294</f>
        <v/>
      </c>
      <c r="P294" s="28">
        <f>I294+N294</f>
        <v/>
      </c>
      <c r="Q294" s="36">
        <f>(1+CF_Yield/12)^-A294</f>
        <v/>
      </c>
      <c r="R294" s="28">
        <f>P294*Q294</f>
        <v/>
      </c>
    </row>
    <row r="295">
      <c r="A295" s="26">
        <f>A294+1</f>
        <v/>
      </c>
      <c r="B295" s="28">
        <f>O294</f>
        <v/>
      </c>
      <c r="C295" s="33">
        <f>1-(1-CF_CPR)^(1/12)</f>
        <v/>
      </c>
      <c r="D295" s="33">
        <f>1-(1-CF_CDR)^(1/12)</f>
        <v/>
      </c>
      <c r="E295" s="28">
        <f>B295*D295</f>
        <v/>
      </c>
      <c r="F295" s="28">
        <f>B295-E295</f>
        <v/>
      </c>
      <c r="G295" s="28">
        <f>IF(F295&gt;0.005,PMT(WAC/12,Term-A295+1,-F295),0)</f>
        <v/>
      </c>
      <c r="H295" s="28">
        <f>F295*WAC/12</f>
        <v/>
      </c>
      <c r="I295" s="28">
        <f>F295*(WAC-ServFee)/12</f>
        <v/>
      </c>
      <c r="J295" s="28">
        <f>G295-H295</f>
        <v/>
      </c>
      <c r="K295" s="28">
        <f>(F295-J295)*C295</f>
        <v/>
      </c>
      <c r="L295" s="28">
        <f>E295*Severity</f>
        <v/>
      </c>
      <c r="M295" s="28">
        <f>E295-L295</f>
        <v/>
      </c>
      <c r="N295" s="28">
        <f>J295+K295+M295</f>
        <v/>
      </c>
      <c r="O295" s="28">
        <f>F295-J295-K295</f>
        <v/>
      </c>
      <c r="P295" s="28">
        <f>I295+N295</f>
        <v/>
      </c>
      <c r="Q295" s="36">
        <f>(1+CF_Yield/12)^-A295</f>
        <v/>
      </c>
      <c r="R295" s="28">
        <f>P295*Q295</f>
        <v/>
      </c>
    </row>
    <row r="296">
      <c r="A296" s="26">
        <f>A295+1</f>
        <v/>
      </c>
      <c r="B296" s="28">
        <f>O295</f>
        <v/>
      </c>
      <c r="C296" s="33">
        <f>1-(1-CF_CPR)^(1/12)</f>
        <v/>
      </c>
      <c r="D296" s="33">
        <f>1-(1-CF_CDR)^(1/12)</f>
        <v/>
      </c>
      <c r="E296" s="28">
        <f>B296*D296</f>
        <v/>
      </c>
      <c r="F296" s="28">
        <f>B296-E296</f>
        <v/>
      </c>
      <c r="G296" s="28">
        <f>IF(F296&gt;0.005,PMT(WAC/12,Term-A296+1,-F296),0)</f>
        <v/>
      </c>
      <c r="H296" s="28">
        <f>F296*WAC/12</f>
        <v/>
      </c>
      <c r="I296" s="28">
        <f>F296*(WAC-ServFee)/12</f>
        <v/>
      </c>
      <c r="J296" s="28">
        <f>G296-H296</f>
        <v/>
      </c>
      <c r="K296" s="28">
        <f>(F296-J296)*C296</f>
        <v/>
      </c>
      <c r="L296" s="28">
        <f>E296*Severity</f>
        <v/>
      </c>
      <c r="M296" s="28">
        <f>E296-L296</f>
        <v/>
      </c>
      <c r="N296" s="28">
        <f>J296+K296+M296</f>
        <v/>
      </c>
      <c r="O296" s="28">
        <f>F296-J296-K296</f>
        <v/>
      </c>
      <c r="P296" s="28">
        <f>I296+N296</f>
        <v/>
      </c>
      <c r="Q296" s="36">
        <f>(1+CF_Yield/12)^-A296</f>
        <v/>
      </c>
      <c r="R296" s="28">
        <f>P296*Q296</f>
        <v/>
      </c>
    </row>
    <row r="297">
      <c r="A297" s="26">
        <f>A296+1</f>
        <v/>
      </c>
      <c r="B297" s="28">
        <f>O296</f>
        <v/>
      </c>
      <c r="C297" s="33">
        <f>1-(1-CF_CPR)^(1/12)</f>
        <v/>
      </c>
      <c r="D297" s="33">
        <f>1-(1-CF_CDR)^(1/12)</f>
        <v/>
      </c>
      <c r="E297" s="28">
        <f>B297*D297</f>
        <v/>
      </c>
      <c r="F297" s="28">
        <f>B297-E297</f>
        <v/>
      </c>
      <c r="G297" s="28">
        <f>IF(F297&gt;0.005,PMT(WAC/12,Term-A297+1,-F297),0)</f>
        <v/>
      </c>
      <c r="H297" s="28">
        <f>F297*WAC/12</f>
        <v/>
      </c>
      <c r="I297" s="28">
        <f>F297*(WAC-ServFee)/12</f>
        <v/>
      </c>
      <c r="J297" s="28">
        <f>G297-H297</f>
        <v/>
      </c>
      <c r="K297" s="28">
        <f>(F297-J297)*C297</f>
        <v/>
      </c>
      <c r="L297" s="28">
        <f>E297*Severity</f>
        <v/>
      </c>
      <c r="M297" s="28">
        <f>E297-L297</f>
        <v/>
      </c>
      <c r="N297" s="28">
        <f>J297+K297+M297</f>
        <v/>
      </c>
      <c r="O297" s="28">
        <f>F297-J297-K297</f>
        <v/>
      </c>
      <c r="P297" s="28">
        <f>I297+N297</f>
        <v/>
      </c>
      <c r="Q297" s="36">
        <f>(1+CF_Yield/12)^-A297</f>
        <v/>
      </c>
      <c r="R297" s="28">
        <f>P297*Q297</f>
        <v/>
      </c>
    </row>
    <row r="298">
      <c r="A298" s="26">
        <f>A297+1</f>
        <v/>
      </c>
      <c r="B298" s="28">
        <f>O297</f>
        <v/>
      </c>
      <c r="C298" s="33">
        <f>1-(1-CF_CPR)^(1/12)</f>
        <v/>
      </c>
      <c r="D298" s="33">
        <f>1-(1-CF_CDR)^(1/12)</f>
        <v/>
      </c>
      <c r="E298" s="28">
        <f>B298*D298</f>
        <v/>
      </c>
      <c r="F298" s="28">
        <f>B298-E298</f>
        <v/>
      </c>
      <c r="G298" s="28">
        <f>IF(F298&gt;0.005,PMT(WAC/12,Term-A298+1,-F298),0)</f>
        <v/>
      </c>
      <c r="H298" s="28">
        <f>F298*WAC/12</f>
        <v/>
      </c>
      <c r="I298" s="28">
        <f>F298*(WAC-ServFee)/12</f>
        <v/>
      </c>
      <c r="J298" s="28">
        <f>G298-H298</f>
        <v/>
      </c>
      <c r="K298" s="28">
        <f>(F298-J298)*C298</f>
        <v/>
      </c>
      <c r="L298" s="28">
        <f>E298*Severity</f>
        <v/>
      </c>
      <c r="M298" s="28">
        <f>E298-L298</f>
        <v/>
      </c>
      <c r="N298" s="28">
        <f>J298+K298+M298</f>
        <v/>
      </c>
      <c r="O298" s="28">
        <f>F298-J298-K298</f>
        <v/>
      </c>
      <c r="P298" s="28">
        <f>I298+N298</f>
        <v/>
      </c>
      <c r="Q298" s="36">
        <f>(1+CF_Yield/12)^-A298</f>
        <v/>
      </c>
      <c r="R298" s="28">
        <f>P298*Q298</f>
        <v/>
      </c>
    </row>
    <row r="299">
      <c r="A299" s="26">
        <f>A298+1</f>
        <v/>
      </c>
      <c r="B299" s="28">
        <f>O298</f>
        <v/>
      </c>
      <c r="C299" s="33">
        <f>1-(1-CF_CPR)^(1/12)</f>
        <v/>
      </c>
      <c r="D299" s="33">
        <f>1-(1-CF_CDR)^(1/12)</f>
        <v/>
      </c>
      <c r="E299" s="28">
        <f>B299*D299</f>
        <v/>
      </c>
      <c r="F299" s="28">
        <f>B299-E299</f>
        <v/>
      </c>
      <c r="G299" s="28">
        <f>IF(F299&gt;0.005,PMT(WAC/12,Term-A299+1,-F299),0)</f>
        <v/>
      </c>
      <c r="H299" s="28">
        <f>F299*WAC/12</f>
        <v/>
      </c>
      <c r="I299" s="28">
        <f>F299*(WAC-ServFee)/12</f>
        <v/>
      </c>
      <c r="J299" s="28">
        <f>G299-H299</f>
        <v/>
      </c>
      <c r="K299" s="28">
        <f>(F299-J299)*C299</f>
        <v/>
      </c>
      <c r="L299" s="28">
        <f>E299*Severity</f>
        <v/>
      </c>
      <c r="M299" s="28">
        <f>E299-L299</f>
        <v/>
      </c>
      <c r="N299" s="28">
        <f>J299+K299+M299</f>
        <v/>
      </c>
      <c r="O299" s="28">
        <f>F299-J299-K299</f>
        <v/>
      </c>
      <c r="P299" s="28">
        <f>I299+N299</f>
        <v/>
      </c>
      <c r="Q299" s="36">
        <f>(1+CF_Yield/12)^-A299</f>
        <v/>
      </c>
      <c r="R299" s="28">
        <f>P299*Q299</f>
        <v/>
      </c>
    </row>
    <row r="300">
      <c r="A300" s="26">
        <f>A299+1</f>
        <v/>
      </c>
      <c r="B300" s="28">
        <f>O299</f>
        <v/>
      </c>
      <c r="C300" s="33">
        <f>1-(1-CF_CPR)^(1/12)</f>
        <v/>
      </c>
      <c r="D300" s="33">
        <f>1-(1-CF_CDR)^(1/12)</f>
        <v/>
      </c>
      <c r="E300" s="28">
        <f>B300*D300</f>
        <v/>
      </c>
      <c r="F300" s="28">
        <f>B300-E300</f>
        <v/>
      </c>
      <c r="G300" s="28">
        <f>IF(F300&gt;0.005,PMT(WAC/12,Term-A300+1,-F300),0)</f>
        <v/>
      </c>
      <c r="H300" s="28">
        <f>F300*WAC/12</f>
        <v/>
      </c>
      <c r="I300" s="28">
        <f>F300*(WAC-ServFee)/12</f>
        <v/>
      </c>
      <c r="J300" s="28">
        <f>G300-H300</f>
        <v/>
      </c>
      <c r="K300" s="28">
        <f>(F300-J300)*C300</f>
        <v/>
      </c>
      <c r="L300" s="28">
        <f>E300*Severity</f>
        <v/>
      </c>
      <c r="M300" s="28">
        <f>E300-L300</f>
        <v/>
      </c>
      <c r="N300" s="28">
        <f>J300+K300+M300</f>
        <v/>
      </c>
      <c r="O300" s="28">
        <f>F300-J300-K300</f>
        <v/>
      </c>
      <c r="P300" s="28">
        <f>I300+N300</f>
        <v/>
      </c>
      <c r="Q300" s="36">
        <f>(1+CF_Yield/12)^-A300</f>
        <v/>
      </c>
      <c r="R300" s="28">
        <f>P300*Q300</f>
        <v/>
      </c>
    </row>
    <row r="301">
      <c r="A301" s="26">
        <f>A300+1</f>
        <v/>
      </c>
      <c r="B301" s="28">
        <f>O300</f>
        <v/>
      </c>
      <c r="C301" s="33">
        <f>1-(1-CF_CPR)^(1/12)</f>
        <v/>
      </c>
      <c r="D301" s="33">
        <f>1-(1-CF_CDR)^(1/12)</f>
        <v/>
      </c>
      <c r="E301" s="28">
        <f>B301*D301</f>
        <v/>
      </c>
      <c r="F301" s="28">
        <f>B301-E301</f>
        <v/>
      </c>
      <c r="G301" s="28">
        <f>IF(F301&gt;0.005,PMT(WAC/12,Term-A301+1,-F301),0)</f>
        <v/>
      </c>
      <c r="H301" s="28">
        <f>F301*WAC/12</f>
        <v/>
      </c>
      <c r="I301" s="28">
        <f>F301*(WAC-ServFee)/12</f>
        <v/>
      </c>
      <c r="J301" s="28">
        <f>G301-H301</f>
        <v/>
      </c>
      <c r="K301" s="28">
        <f>(F301-J301)*C301</f>
        <v/>
      </c>
      <c r="L301" s="28">
        <f>E301*Severity</f>
        <v/>
      </c>
      <c r="M301" s="28">
        <f>E301-L301</f>
        <v/>
      </c>
      <c r="N301" s="28">
        <f>J301+K301+M301</f>
        <v/>
      </c>
      <c r="O301" s="28">
        <f>F301-J301-K301</f>
        <v/>
      </c>
      <c r="P301" s="28">
        <f>I301+N301</f>
        <v/>
      </c>
      <c r="Q301" s="36">
        <f>(1+CF_Yield/12)^-A301</f>
        <v/>
      </c>
      <c r="R301" s="28">
        <f>P301*Q301</f>
        <v/>
      </c>
    </row>
    <row r="302">
      <c r="A302" s="26">
        <f>A301+1</f>
        <v/>
      </c>
      <c r="B302" s="28">
        <f>O301</f>
        <v/>
      </c>
      <c r="C302" s="33">
        <f>1-(1-CF_CPR)^(1/12)</f>
        <v/>
      </c>
      <c r="D302" s="33">
        <f>1-(1-CF_CDR)^(1/12)</f>
        <v/>
      </c>
      <c r="E302" s="28">
        <f>B302*D302</f>
        <v/>
      </c>
      <c r="F302" s="28">
        <f>B302-E302</f>
        <v/>
      </c>
      <c r="G302" s="28">
        <f>IF(F302&gt;0.005,PMT(WAC/12,Term-A302+1,-F302),0)</f>
        <v/>
      </c>
      <c r="H302" s="28">
        <f>F302*WAC/12</f>
        <v/>
      </c>
      <c r="I302" s="28">
        <f>F302*(WAC-ServFee)/12</f>
        <v/>
      </c>
      <c r="J302" s="28">
        <f>G302-H302</f>
        <v/>
      </c>
      <c r="K302" s="28">
        <f>(F302-J302)*C302</f>
        <v/>
      </c>
      <c r="L302" s="28">
        <f>E302*Severity</f>
        <v/>
      </c>
      <c r="M302" s="28">
        <f>E302-L302</f>
        <v/>
      </c>
      <c r="N302" s="28">
        <f>J302+K302+M302</f>
        <v/>
      </c>
      <c r="O302" s="28">
        <f>F302-J302-K302</f>
        <v/>
      </c>
      <c r="P302" s="28">
        <f>I302+N302</f>
        <v/>
      </c>
      <c r="Q302" s="36">
        <f>(1+CF_Yield/12)^-A302</f>
        <v/>
      </c>
      <c r="R302" s="28">
        <f>P302*Q302</f>
        <v/>
      </c>
    </row>
    <row r="303">
      <c r="A303" s="26">
        <f>A302+1</f>
        <v/>
      </c>
      <c r="B303" s="28">
        <f>O302</f>
        <v/>
      </c>
      <c r="C303" s="33">
        <f>1-(1-CF_CPR)^(1/12)</f>
        <v/>
      </c>
      <c r="D303" s="33">
        <f>1-(1-CF_CDR)^(1/12)</f>
        <v/>
      </c>
      <c r="E303" s="28">
        <f>B303*D303</f>
        <v/>
      </c>
      <c r="F303" s="28">
        <f>B303-E303</f>
        <v/>
      </c>
      <c r="G303" s="28">
        <f>IF(F303&gt;0.005,PMT(WAC/12,Term-A303+1,-F303),0)</f>
        <v/>
      </c>
      <c r="H303" s="28">
        <f>F303*WAC/12</f>
        <v/>
      </c>
      <c r="I303" s="28">
        <f>F303*(WAC-ServFee)/12</f>
        <v/>
      </c>
      <c r="J303" s="28">
        <f>G303-H303</f>
        <v/>
      </c>
      <c r="K303" s="28">
        <f>(F303-J303)*C303</f>
        <v/>
      </c>
      <c r="L303" s="28">
        <f>E303*Severity</f>
        <v/>
      </c>
      <c r="M303" s="28">
        <f>E303-L303</f>
        <v/>
      </c>
      <c r="N303" s="28">
        <f>J303+K303+M303</f>
        <v/>
      </c>
      <c r="O303" s="28">
        <f>F303-J303-K303</f>
        <v/>
      </c>
      <c r="P303" s="28">
        <f>I303+N303</f>
        <v/>
      </c>
      <c r="Q303" s="36">
        <f>(1+CF_Yield/12)^-A303</f>
        <v/>
      </c>
      <c r="R303" s="28">
        <f>P303*Q303</f>
        <v/>
      </c>
    </row>
    <row r="304">
      <c r="A304" s="26">
        <f>A303+1</f>
        <v/>
      </c>
      <c r="B304" s="28">
        <f>O303</f>
        <v/>
      </c>
      <c r="C304" s="33">
        <f>1-(1-CF_CPR)^(1/12)</f>
        <v/>
      </c>
      <c r="D304" s="33">
        <f>1-(1-CF_CDR)^(1/12)</f>
        <v/>
      </c>
      <c r="E304" s="28">
        <f>B304*D304</f>
        <v/>
      </c>
      <c r="F304" s="28">
        <f>B304-E304</f>
        <v/>
      </c>
      <c r="G304" s="28">
        <f>IF(F304&gt;0.005,PMT(WAC/12,Term-A304+1,-F304),0)</f>
        <v/>
      </c>
      <c r="H304" s="28">
        <f>F304*WAC/12</f>
        <v/>
      </c>
      <c r="I304" s="28">
        <f>F304*(WAC-ServFee)/12</f>
        <v/>
      </c>
      <c r="J304" s="28">
        <f>G304-H304</f>
        <v/>
      </c>
      <c r="K304" s="28">
        <f>(F304-J304)*C304</f>
        <v/>
      </c>
      <c r="L304" s="28">
        <f>E304*Severity</f>
        <v/>
      </c>
      <c r="M304" s="28">
        <f>E304-L304</f>
        <v/>
      </c>
      <c r="N304" s="28">
        <f>J304+K304+M304</f>
        <v/>
      </c>
      <c r="O304" s="28">
        <f>F304-J304-K304</f>
        <v/>
      </c>
      <c r="P304" s="28">
        <f>I304+N304</f>
        <v/>
      </c>
      <c r="Q304" s="36">
        <f>(1+CF_Yield/12)^-A304</f>
        <v/>
      </c>
      <c r="R304" s="28">
        <f>P304*Q304</f>
        <v/>
      </c>
    </row>
    <row r="305">
      <c r="A305" s="26">
        <f>A304+1</f>
        <v/>
      </c>
      <c r="B305" s="28">
        <f>O304</f>
        <v/>
      </c>
      <c r="C305" s="33">
        <f>1-(1-CF_CPR)^(1/12)</f>
        <v/>
      </c>
      <c r="D305" s="33">
        <f>1-(1-CF_CDR)^(1/12)</f>
        <v/>
      </c>
      <c r="E305" s="28">
        <f>B305*D305</f>
        <v/>
      </c>
      <c r="F305" s="28">
        <f>B305-E305</f>
        <v/>
      </c>
      <c r="G305" s="28">
        <f>IF(F305&gt;0.005,PMT(WAC/12,Term-A305+1,-F305),0)</f>
        <v/>
      </c>
      <c r="H305" s="28">
        <f>F305*WAC/12</f>
        <v/>
      </c>
      <c r="I305" s="28">
        <f>F305*(WAC-ServFee)/12</f>
        <v/>
      </c>
      <c r="J305" s="28">
        <f>G305-H305</f>
        <v/>
      </c>
      <c r="K305" s="28">
        <f>(F305-J305)*C305</f>
        <v/>
      </c>
      <c r="L305" s="28">
        <f>E305*Severity</f>
        <v/>
      </c>
      <c r="M305" s="28">
        <f>E305-L305</f>
        <v/>
      </c>
      <c r="N305" s="28">
        <f>J305+K305+M305</f>
        <v/>
      </c>
      <c r="O305" s="28">
        <f>F305-J305-K305</f>
        <v/>
      </c>
      <c r="P305" s="28">
        <f>I305+N305</f>
        <v/>
      </c>
      <c r="Q305" s="36">
        <f>(1+CF_Yield/12)^-A305</f>
        <v/>
      </c>
      <c r="R305" s="28">
        <f>P305*Q305</f>
        <v/>
      </c>
    </row>
    <row r="306">
      <c r="A306" s="26">
        <f>A305+1</f>
        <v/>
      </c>
      <c r="B306" s="28">
        <f>O305</f>
        <v/>
      </c>
      <c r="C306" s="33">
        <f>1-(1-CF_CPR)^(1/12)</f>
        <v/>
      </c>
      <c r="D306" s="33">
        <f>1-(1-CF_CDR)^(1/12)</f>
        <v/>
      </c>
      <c r="E306" s="28">
        <f>B306*D306</f>
        <v/>
      </c>
      <c r="F306" s="28">
        <f>B306-E306</f>
        <v/>
      </c>
      <c r="G306" s="28">
        <f>IF(F306&gt;0.005,PMT(WAC/12,Term-A306+1,-F306),0)</f>
        <v/>
      </c>
      <c r="H306" s="28">
        <f>F306*WAC/12</f>
        <v/>
      </c>
      <c r="I306" s="28">
        <f>F306*(WAC-ServFee)/12</f>
        <v/>
      </c>
      <c r="J306" s="28">
        <f>G306-H306</f>
        <v/>
      </c>
      <c r="K306" s="28">
        <f>(F306-J306)*C306</f>
        <v/>
      </c>
      <c r="L306" s="28">
        <f>E306*Severity</f>
        <v/>
      </c>
      <c r="M306" s="28">
        <f>E306-L306</f>
        <v/>
      </c>
      <c r="N306" s="28">
        <f>J306+K306+M306</f>
        <v/>
      </c>
      <c r="O306" s="28">
        <f>F306-J306-K306</f>
        <v/>
      </c>
      <c r="P306" s="28">
        <f>I306+N306</f>
        <v/>
      </c>
      <c r="Q306" s="36">
        <f>(1+CF_Yield/12)^-A306</f>
        <v/>
      </c>
      <c r="R306" s="28">
        <f>P306*Q306</f>
        <v/>
      </c>
    </row>
    <row r="307">
      <c r="A307" s="26">
        <f>A306+1</f>
        <v/>
      </c>
      <c r="B307" s="28">
        <f>O306</f>
        <v/>
      </c>
      <c r="C307" s="33">
        <f>1-(1-CF_CPR)^(1/12)</f>
        <v/>
      </c>
      <c r="D307" s="33">
        <f>1-(1-CF_CDR)^(1/12)</f>
        <v/>
      </c>
      <c r="E307" s="28">
        <f>B307*D307</f>
        <v/>
      </c>
      <c r="F307" s="28">
        <f>B307-E307</f>
        <v/>
      </c>
      <c r="G307" s="28">
        <f>IF(F307&gt;0.005,PMT(WAC/12,Term-A307+1,-F307),0)</f>
        <v/>
      </c>
      <c r="H307" s="28">
        <f>F307*WAC/12</f>
        <v/>
      </c>
      <c r="I307" s="28">
        <f>F307*(WAC-ServFee)/12</f>
        <v/>
      </c>
      <c r="J307" s="28">
        <f>G307-H307</f>
        <v/>
      </c>
      <c r="K307" s="28">
        <f>(F307-J307)*C307</f>
        <v/>
      </c>
      <c r="L307" s="28">
        <f>E307*Severity</f>
        <v/>
      </c>
      <c r="M307" s="28">
        <f>E307-L307</f>
        <v/>
      </c>
      <c r="N307" s="28">
        <f>J307+K307+M307</f>
        <v/>
      </c>
      <c r="O307" s="28">
        <f>F307-J307-K307</f>
        <v/>
      </c>
      <c r="P307" s="28">
        <f>I307+N307</f>
        <v/>
      </c>
      <c r="Q307" s="36">
        <f>(1+CF_Yield/12)^-A307</f>
        <v/>
      </c>
      <c r="R307" s="28">
        <f>P307*Q307</f>
        <v/>
      </c>
    </row>
    <row r="308">
      <c r="A308" s="26">
        <f>A307+1</f>
        <v/>
      </c>
      <c r="B308" s="28">
        <f>O307</f>
        <v/>
      </c>
      <c r="C308" s="33">
        <f>1-(1-CF_CPR)^(1/12)</f>
        <v/>
      </c>
      <c r="D308" s="33">
        <f>1-(1-CF_CDR)^(1/12)</f>
        <v/>
      </c>
      <c r="E308" s="28">
        <f>B308*D308</f>
        <v/>
      </c>
      <c r="F308" s="28">
        <f>B308-E308</f>
        <v/>
      </c>
      <c r="G308" s="28">
        <f>IF(F308&gt;0.005,PMT(WAC/12,Term-A308+1,-F308),0)</f>
        <v/>
      </c>
      <c r="H308" s="28">
        <f>F308*WAC/12</f>
        <v/>
      </c>
      <c r="I308" s="28">
        <f>F308*(WAC-ServFee)/12</f>
        <v/>
      </c>
      <c r="J308" s="28">
        <f>G308-H308</f>
        <v/>
      </c>
      <c r="K308" s="28">
        <f>(F308-J308)*C308</f>
        <v/>
      </c>
      <c r="L308" s="28">
        <f>E308*Severity</f>
        <v/>
      </c>
      <c r="M308" s="28">
        <f>E308-L308</f>
        <v/>
      </c>
      <c r="N308" s="28">
        <f>J308+K308+M308</f>
        <v/>
      </c>
      <c r="O308" s="28">
        <f>F308-J308-K308</f>
        <v/>
      </c>
      <c r="P308" s="28">
        <f>I308+N308</f>
        <v/>
      </c>
      <c r="Q308" s="36">
        <f>(1+CF_Yield/12)^-A308</f>
        <v/>
      </c>
      <c r="R308" s="28">
        <f>P308*Q308</f>
        <v/>
      </c>
    </row>
    <row r="309">
      <c r="A309" s="26">
        <f>A308+1</f>
        <v/>
      </c>
      <c r="B309" s="28">
        <f>O308</f>
        <v/>
      </c>
      <c r="C309" s="33">
        <f>1-(1-CF_CPR)^(1/12)</f>
        <v/>
      </c>
      <c r="D309" s="33">
        <f>1-(1-CF_CDR)^(1/12)</f>
        <v/>
      </c>
      <c r="E309" s="28">
        <f>B309*D309</f>
        <v/>
      </c>
      <c r="F309" s="28">
        <f>B309-E309</f>
        <v/>
      </c>
      <c r="G309" s="28">
        <f>IF(F309&gt;0.005,PMT(WAC/12,Term-A309+1,-F309),0)</f>
        <v/>
      </c>
      <c r="H309" s="28">
        <f>F309*WAC/12</f>
        <v/>
      </c>
      <c r="I309" s="28">
        <f>F309*(WAC-ServFee)/12</f>
        <v/>
      </c>
      <c r="J309" s="28">
        <f>G309-H309</f>
        <v/>
      </c>
      <c r="K309" s="28">
        <f>(F309-J309)*C309</f>
        <v/>
      </c>
      <c r="L309" s="28">
        <f>E309*Severity</f>
        <v/>
      </c>
      <c r="M309" s="28">
        <f>E309-L309</f>
        <v/>
      </c>
      <c r="N309" s="28">
        <f>J309+K309+M309</f>
        <v/>
      </c>
      <c r="O309" s="28">
        <f>F309-J309-K309</f>
        <v/>
      </c>
      <c r="P309" s="28">
        <f>I309+N309</f>
        <v/>
      </c>
      <c r="Q309" s="36">
        <f>(1+CF_Yield/12)^-A309</f>
        <v/>
      </c>
      <c r="R309" s="28">
        <f>P309*Q309</f>
        <v/>
      </c>
    </row>
    <row r="310">
      <c r="A310" s="26">
        <f>A309+1</f>
        <v/>
      </c>
      <c r="B310" s="28">
        <f>O309</f>
        <v/>
      </c>
      <c r="C310" s="33">
        <f>1-(1-CF_CPR)^(1/12)</f>
        <v/>
      </c>
      <c r="D310" s="33">
        <f>1-(1-CF_CDR)^(1/12)</f>
        <v/>
      </c>
      <c r="E310" s="28">
        <f>B310*D310</f>
        <v/>
      </c>
      <c r="F310" s="28">
        <f>B310-E310</f>
        <v/>
      </c>
      <c r="G310" s="28">
        <f>IF(F310&gt;0.005,PMT(WAC/12,Term-A310+1,-F310),0)</f>
        <v/>
      </c>
      <c r="H310" s="28">
        <f>F310*WAC/12</f>
        <v/>
      </c>
      <c r="I310" s="28">
        <f>F310*(WAC-ServFee)/12</f>
        <v/>
      </c>
      <c r="J310" s="28">
        <f>G310-H310</f>
        <v/>
      </c>
      <c r="K310" s="28">
        <f>(F310-J310)*C310</f>
        <v/>
      </c>
      <c r="L310" s="28">
        <f>E310*Severity</f>
        <v/>
      </c>
      <c r="M310" s="28">
        <f>E310-L310</f>
        <v/>
      </c>
      <c r="N310" s="28">
        <f>J310+K310+M310</f>
        <v/>
      </c>
      <c r="O310" s="28">
        <f>F310-J310-K310</f>
        <v/>
      </c>
      <c r="P310" s="28">
        <f>I310+N310</f>
        <v/>
      </c>
      <c r="Q310" s="36">
        <f>(1+CF_Yield/12)^-A310</f>
        <v/>
      </c>
      <c r="R310" s="28">
        <f>P310*Q310</f>
        <v/>
      </c>
    </row>
    <row r="311">
      <c r="A311" s="26">
        <f>A310+1</f>
        <v/>
      </c>
      <c r="B311" s="28">
        <f>O310</f>
        <v/>
      </c>
      <c r="C311" s="33">
        <f>1-(1-CF_CPR)^(1/12)</f>
        <v/>
      </c>
      <c r="D311" s="33">
        <f>1-(1-CF_CDR)^(1/12)</f>
        <v/>
      </c>
      <c r="E311" s="28">
        <f>B311*D311</f>
        <v/>
      </c>
      <c r="F311" s="28">
        <f>B311-E311</f>
        <v/>
      </c>
      <c r="G311" s="28">
        <f>IF(F311&gt;0.005,PMT(WAC/12,Term-A311+1,-F311),0)</f>
        <v/>
      </c>
      <c r="H311" s="28">
        <f>F311*WAC/12</f>
        <v/>
      </c>
      <c r="I311" s="28">
        <f>F311*(WAC-ServFee)/12</f>
        <v/>
      </c>
      <c r="J311" s="28">
        <f>G311-H311</f>
        <v/>
      </c>
      <c r="K311" s="28">
        <f>(F311-J311)*C311</f>
        <v/>
      </c>
      <c r="L311" s="28">
        <f>E311*Severity</f>
        <v/>
      </c>
      <c r="M311" s="28">
        <f>E311-L311</f>
        <v/>
      </c>
      <c r="N311" s="28">
        <f>J311+K311+M311</f>
        <v/>
      </c>
      <c r="O311" s="28">
        <f>F311-J311-K311</f>
        <v/>
      </c>
      <c r="P311" s="28">
        <f>I311+N311</f>
        <v/>
      </c>
      <c r="Q311" s="36">
        <f>(1+CF_Yield/12)^-A311</f>
        <v/>
      </c>
      <c r="R311" s="28">
        <f>P311*Q311</f>
        <v/>
      </c>
    </row>
    <row r="312">
      <c r="A312" s="26">
        <f>A311+1</f>
        <v/>
      </c>
      <c r="B312" s="28">
        <f>O311</f>
        <v/>
      </c>
      <c r="C312" s="33">
        <f>1-(1-CF_CPR)^(1/12)</f>
        <v/>
      </c>
      <c r="D312" s="33">
        <f>1-(1-CF_CDR)^(1/12)</f>
        <v/>
      </c>
      <c r="E312" s="28">
        <f>B312*D312</f>
        <v/>
      </c>
      <c r="F312" s="28">
        <f>B312-E312</f>
        <v/>
      </c>
      <c r="G312" s="28">
        <f>IF(F312&gt;0.005,PMT(WAC/12,Term-A312+1,-F312),0)</f>
        <v/>
      </c>
      <c r="H312" s="28">
        <f>F312*WAC/12</f>
        <v/>
      </c>
      <c r="I312" s="28">
        <f>F312*(WAC-ServFee)/12</f>
        <v/>
      </c>
      <c r="J312" s="28">
        <f>G312-H312</f>
        <v/>
      </c>
      <c r="K312" s="28">
        <f>(F312-J312)*C312</f>
        <v/>
      </c>
      <c r="L312" s="28">
        <f>E312*Severity</f>
        <v/>
      </c>
      <c r="M312" s="28">
        <f>E312-L312</f>
        <v/>
      </c>
      <c r="N312" s="28">
        <f>J312+K312+M312</f>
        <v/>
      </c>
      <c r="O312" s="28">
        <f>F312-J312-K312</f>
        <v/>
      </c>
      <c r="P312" s="28">
        <f>I312+N312</f>
        <v/>
      </c>
      <c r="Q312" s="36">
        <f>(1+CF_Yield/12)^-A312</f>
        <v/>
      </c>
      <c r="R312" s="28">
        <f>P312*Q312</f>
        <v/>
      </c>
    </row>
    <row r="313">
      <c r="A313" s="26">
        <f>A312+1</f>
        <v/>
      </c>
      <c r="B313" s="28">
        <f>O312</f>
        <v/>
      </c>
      <c r="C313" s="33">
        <f>1-(1-CF_CPR)^(1/12)</f>
        <v/>
      </c>
      <c r="D313" s="33">
        <f>1-(1-CF_CDR)^(1/12)</f>
        <v/>
      </c>
      <c r="E313" s="28">
        <f>B313*D313</f>
        <v/>
      </c>
      <c r="F313" s="28">
        <f>B313-E313</f>
        <v/>
      </c>
      <c r="G313" s="28">
        <f>IF(F313&gt;0.005,PMT(WAC/12,Term-A313+1,-F313),0)</f>
        <v/>
      </c>
      <c r="H313" s="28">
        <f>F313*WAC/12</f>
        <v/>
      </c>
      <c r="I313" s="28">
        <f>F313*(WAC-ServFee)/12</f>
        <v/>
      </c>
      <c r="J313" s="28">
        <f>G313-H313</f>
        <v/>
      </c>
      <c r="K313" s="28">
        <f>(F313-J313)*C313</f>
        <v/>
      </c>
      <c r="L313" s="28">
        <f>E313*Severity</f>
        <v/>
      </c>
      <c r="M313" s="28">
        <f>E313-L313</f>
        <v/>
      </c>
      <c r="N313" s="28">
        <f>J313+K313+M313</f>
        <v/>
      </c>
      <c r="O313" s="28">
        <f>F313-J313-K313</f>
        <v/>
      </c>
      <c r="P313" s="28">
        <f>I313+N313</f>
        <v/>
      </c>
      <c r="Q313" s="36">
        <f>(1+CF_Yield/12)^-A313</f>
        <v/>
      </c>
      <c r="R313" s="28">
        <f>P313*Q313</f>
        <v/>
      </c>
    </row>
    <row r="314">
      <c r="A314" s="26">
        <f>A313+1</f>
        <v/>
      </c>
      <c r="B314" s="28">
        <f>O313</f>
        <v/>
      </c>
      <c r="C314" s="33">
        <f>1-(1-CF_CPR)^(1/12)</f>
        <v/>
      </c>
      <c r="D314" s="33">
        <f>1-(1-CF_CDR)^(1/12)</f>
        <v/>
      </c>
      <c r="E314" s="28">
        <f>B314*D314</f>
        <v/>
      </c>
      <c r="F314" s="28">
        <f>B314-E314</f>
        <v/>
      </c>
      <c r="G314" s="28">
        <f>IF(F314&gt;0.005,PMT(WAC/12,Term-A314+1,-F314),0)</f>
        <v/>
      </c>
      <c r="H314" s="28">
        <f>F314*WAC/12</f>
        <v/>
      </c>
      <c r="I314" s="28">
        <f>F314*(WAC-ServFee)/12</f>
        <v/>
      </c>
      <c r="J314" s="28">
        <f>G314-H314</f>
        <v/>
      </c>
      <c r="K314" s="28">
        <f>(F314-J314)*C314</f>
        <v/>
      </c>
      <c r="L314" s="28">
        <f>E314*Severity</f>
        <v/>
      </c>
      <c r="M314" s="28">
        <f>E314-L314</f>
        <v/>
      </c>
      <c r="N314" s="28">
        <f>J314+K314+M314</f>
        <v/>
      </c>
      <c r="O314" s="28">
        <f>F314-J314-K314</f>
        <v/>
      </c>
      <c r="P314" s="28">
        <f>I314+N314</f>
        <v/>
      </c>
      <c r="Q314" s="36">
        <f>(1+CF_Yield/12)^-A314</f>
        <v/>
      </c>
      <c r="R314" s="28">
        <f>P314*Q314</f>
        <v/>
      </c>
    </row>
    <row r="315">
      <c r="A315" s="26">
        <f>A314+1</f>
        <v/>
      </c>
      <c r="B315" s="28">
        <f>O314</f>
        <v/>
      </c>
      <c r="C315" s="33">
        <f>1-(1-CF_CPR)^(1/12)</f>
        <v/>
      </c>
      <c r="D315" s="33">
        <f>1-(1-CF_CDR)^(1/12)</f>
        <v/>
      </c>
      <c r="E315" s="28">
        <f>B315*D315</f>
        <v/>
      </c>
      <c r="F315" s="28">
        <f>B315-E315</f>
        <v/>
      </c>
      <c r="G315" s="28">
        <f>IF(F315&gt;0.005,PMT(WAC/12,Term-A315+1,-F315),0)</f>
        <v/>
      </c>
      <c r="H315" s="28">
        <f>F315*WAC/12</f>
        <v/>
      </c>
      <c r="I315" s="28">
        <f>F315*(WAC-ServFee)/12</f>
        <v/>
      </c>
      <c r="J315" s="28">
        <f>G315-H315</f>
        <v/>
      </c>
      <c r="K315" s="28">
        <f>(F315-J315)*C315</f>
        <v/>
      </c>
      <c r="L315" s="28">
        <f>E315*Severity</f>
        <v/>
      </c>
      <c r="M315" s="28">
        <f>E315-L315</f>
        <v/>
      </c>
      <c r="N315" s="28">
        <f>J315+K315+M315</f>
        <v/>
      </c>
      <c r="O315" s="28">
        <f>F315-J315-K315</f>
        <v/>
      </c>
      <c r="P315" s="28">
        <f>I315+N315</f>
        <v/>
      </c>
      <c r="Q315" s="36">
        <f>(1+CF_Yield/12)^-A315</f>
        <v/>
      </c>
      <c r="R315" s="28">
        <f>P315*Q315</f>
        <v/>
      </c>
    </row>
    <row r="316">
      <c r="A316" s="26">
        <f>A315+1</f>
        <v/>
      </c>
      <c r="B316" s="28">
        <f>O315</f>
        <v/>
      </c>
      <c r="C316" s="33">
        <f>1-(1-CF_CPR)^(1/12)</f>
        <v/>
      </c>
      <c r="D316" s="33">
        <f>1-(1-CF_CDR)^(1/12)</f>
        <v/>
      </c>
      <c r="E316" s="28">
        <f>B316*D316</f>
        <v/>
      </c>
      <c r="F316" s="28">
        <f>B316-E316</f>
        <v/>
      </c>
      <c r="G316" s="28">
        <f>IF(F316&gt;0.005,PMT(WAC/12,Term-A316+1,-F316),0)</f>
        <v/>
      </c>
      <c r="H316" s="28">
        <f>F316*WAC/12</f>
        <v/>
      </c>
      <c r="I316" s="28">
        <f>F316*(WAC-ServFee)/12</f>
        <v/>
      </c>
      <c r="J316" s="28">
        <f>G316-H316</f>
        <v/>
      </c>
      <c r="K316" s="28">
        <f>(F316-J316)*C316</f>
        <v/>
      </c>
      <c r="L316" s="28">
        <f>E316*Severity</f>
        <v/>
      </c>
      <c r="M316" s="28">
        <f>E316-L316</f>
        <v/>
      </c>
      <c r="N316" s="28">
        <f>J316+K316+M316</f>
        <v/>
      </c>
      <c r="O316" s="28">
        <f>F316-J316-K316</f>
        <v/>
      </c>
      <c r="P316" s="28">
        <f>I316+N316</f>
        <v/>
      </c>
      <c r="Q316" s="36">
        <f>(1+CF_Yield/12)^-A316</f>
        <v/>
      </c>
      <c r="R316" s="28">
        <f>P316*Q316</f>
        <v/>
      </c>
    </row>
    <row r="317">
      <c r="A317" s="26">
        <f>A316+1</f>
        <v/>
      </c>
      <c r="B317" s="28">
        <f>O316</f>
        <v/>
      </c>
      <c r="C317" s="33">
        <f>1-(1-CF_CPR)^(1/12)</f>
        <v/>
      </c>
      <c r="D317" s="33">
        <f>1-(1-CF_CDR)^(1/12)</f>
        <v/>
      </c>
      <c r="E317" s="28">
        <f>B317*D317</f>
        <v/>
      </c>
      <c r="F317" s="28">
        <f>B317-E317</f>
        <v/>
      </c>
      <c r="G317" s="28">
        <f>IF(F317&gt;0.005,PMT(WAC/12,Term-A317+1,-F317),0)</f>
        <v/>
      </c>
      <c r="H317" s="28">
        <f>F317*WAC/12</f>
        <v/>
      </c>
      <c r="I317" s="28">
        <f>F317*(WAC-ServFee)/12</f>
        <v/>
      </c>
      <c r="J317" s="28">
        <f>G317-H317</f>
        <v/>
      </c>
      <c r="K317" s="28">
        <f>(F317-J317)*C317</f>
        <v/>
      </c>
      <c r="L317" s="28">
        <f>E317*Severity</f>
        <v/>
      </c>
      <c r="M317" s="28">
        <f>E317-L317</f>
        <v/>
      </c>
      <c r="N317" s="28">
        <f>J317+K317+M317</f>
        <v/>
      </c>
      <c r="O317" s="28">
        <f>F317-J317-K317</f>
        <v/>
      </c>
      <c r="P317" s="28">
        <f>I317+N317</f>
        <v/>
      </c>
      <c r="Q317" s="36">
        <f>(1+CF_Yield/12)^-A317</f>
        <v/>
      </c>
      <c r="R317" s="28">
        <f>P317*Q317</f>
        <v/>
      </c>
    </row>
    <row r="318">
      <c r="A318" s="26">
        <f>A317+1</f>
        <v/>
      </c>
      <c r="B318" s="28">
        <f>O317</f>
        <v/>
      </c>
      <c r="C318" s="33">
        <f>1-(1-CF_CPR)^(1/12)</f>
        <v/>
      </c>
      <c r="D318" s="33">
        <f>1-(1-CF_CDR)^(1/12)</f>
        <v/>
      </c>
      <c r="E318" s="28">
        <f>B318*D318</f>
        <v/>
      </c>
      <c r="F318" s="28">
        <f>B318-E318</f>
        <v/>
      </c>
      <c r="G318" s="28">
        <f>IF(F318&gt;0.005,PMT(WAC/12,Term-A318+1,-F318),0)</f>
        <v/>
      </c>
      <c r="H318" s="28">
        <f>F318*WAC/12</f>
        <v/>
      </c>
      <c r="I318" s="28">
        <f>F318*(WAC-ServFee)/12</f>
        <v/>
      </c>
      <c r="J318" s="28">
        <f>G318-H318</f>
        <v/>
      </c>
      <c r="K318" s="28">
        <f>(F318-J318)*C318</f>
        <v/>
      </c>
      <c r="L318" s="28">
        <f>E318*Severity</f>
        <v/>
      </c>
      <c r="M318" s="28">
        <f>E318-L318</f>
        <v/>
      </c>
      <c r="N318" s="28">
        <f>J318+K318+M318</f>
        <v/>
      </c>
      <c r="O318" s="28">
        <f>F318-J318-K318</f>
        <v/>
      </c>
      <c r="P318" s="28">
        <f>I318+N318</f>
        <v/>
      </c>
      <c r="Q318" s="36">
        <f>(1+CF_Yield/12)^-A318</f>
        <v/>
      </c>
      <c r="R318" s="28">
        <f>P318*Q318</f>
        <v/>
      </c>
    </row>
    <row r="319">
      <c r="A319" s="26">
        <f>A318+1</f>
        <v/>
      </c>
      <c r="B319" s="28">
        <f>O318</f>
        <v/>
      </c>
      <c r="C319" s="33">
        <f>1-(1-CF_CPR)^(1/12)</f>
        <v/>
      </c>
      <c r="D319" s="33">
        <f>1-(1-CF_CDR)^(1/12)</f>
        <v/>
      </c>
      <c r="E319" s="28">
        <f>B319*D319</f>
        <v/>
      </c>
      <c r="F319" s="28">
        <f>B319-E319</f>
        <v/>
      </c>
      <c r="G319" s="28">
        <f>IF(F319&gt;0.005,PMT(WAC/12,Term-A319+1,-F319),0)</f>
        <v/>
      </c>
      <c r="H319" s="28">
        <f>F319*WAC/12</f>
        <v/>
      </c>
      <c r="I319" s="28">
        <f>F319*(WAC-ServFee)/12</f>
        <v/>
      </c>
      <c r="J319" s="28">
        <f>G319-H319</f>
        <v/>
      </c>
      <c r="K319" s="28">
        <f>(F319-J319)*C319</f>
        <v/>
      </c>
      <c r="L319" s="28">
        <f>E319*Severity</f>
        <v/>
      </c>
      <c r="M319" s="28">
        <f>E319-L319</f>
        <v/>
      </c>
      <c r="N319" s="28">
        <f>J319+K319+M319</f>
        <v/>
      </c>
      <c r="O319" s="28">
        <f>F319-J319-K319</f>
        <v/>
      </c>
      <c r="P319" s="28">
        <f>I319+N319</f>
        <v/>
      </c>
      <c r="Q319" s="36">
        <f>(1+CF_Yield/12)^-A319</f>
        <v/>
      </c>
      <c r="R319" s="28">
        <f>P319*Q319</f>
        <v/>
      </c>
    </row>
    <row r="320">
      <c r="A320" s="26">
        <f>A319+1</f>
        <v/>
      </c>
      <c r="B320" s="28">
        <f>O319</f>
        <v/>
      </c>
      <c r="C320" s="33">
        <f>1-(1-CF_CPR)^(1/12)</f>
        <v/>
      </c>
      <c r="D320" s="33">
        <f>1-(1-CF_CDR)^(1/12)</f>
        <v/>
      </c>
      <c r="E320" s="28">
        <f>B320*D320</f>
        <v/>
      </c>
      <c r="F320" s="28">
        <f>B320-E320</f>
        <v/>
      </c>
      <c r="G320" s="28">
        <f>IF(F320&gt;0.005,PMT(WAC/12,Term-A320+1,-F320),0)</f>
        <v/>
      </c>
      <c r="H320" s="28">
        <f>F320*WAC/12</f>
        <v/>
      </c>
      <c r="I320" s="28">
        <f>F320*(WAC-ServFee)/12</f>
        <v/>
      </c>
      <c r="J320" s="28">
        <f>G320-H320</f>
        <v/>
      </c>
      <c r="K320" s="28">
        <f>(F320-J320)*C320</f>
        <v/>
      </c>
      <c r="L320" s="28">
        <f>E320*Severity</f>
        <v/>
      </c>
      <c r="M320" s="28">
        <f>E320-L320</f>
        <v/>
      </c>
      <c r="N320" s="28">
        <f>J320+K320+M320</f>
        <v/>
      </c>
      <c r="O320" s="28">
        <f>F320-J320-K320</f>
        <v/>
      </c>
      <c r="P320" s="28">
        <f>I320+N320</f>
        <v/>
      </c>
      <c r="Q320" s="36">
        <f>(1+CF_Yield/12)^-A320</f>
        <v/>
      </c>
      <c r="R320" s="28">
        <f>P320*Q320</f>
        <v/>
      </c>
    </row>
    <row r="321">
      <c r="A321" s="26">
        <f>A320+1</f>
        <v/>
      </c>
      <c r="B321" s="28">
        <f>O320</f>
        <v/>
      </c>
      <c r="C321" s="33">
        <f>1-(1-CF_CPR)^(1/12)</f>
        <v/>
      </c>
      <c r="D321" s="33">
        <f>1-(1-CF_CDR)^(1/12)</f>
        <v/>
      </c>
      <c r="E321" s="28">
        <f>B321*D321</f>
        <v/>
      </c>
      <c r="F321" s="28">
        <f>B321-E321</f>
        <v/>
      </c>
      <c r="G321" s="28">
        <f>IF(F321&gt;0.005,PMT(WAC/12,Term-A321+1,-F321),0)</f>
        <v/>
      </c>
      <c r="H321" s="28">
        <f>F321*WAC/12</f>
        <v/>
      </c>
      <c r="I321" s="28">
        <f>F321*(WAC-ServFee)/12</f>
        <v/>
      </c>
      <c r="J321" s="28">
        <f>G321-H321</f>
        <v/>
      </c>
      <c r="K321" s="28">
        <f>(F321-J321)*C321</f>
        <v/>
      </c>
      <c r="L321" s="28">
        <f>E321*Severity</f>
        <v/>
      </c>
      <c r="M321" s="28">
        <f>E321-L321</f>
        <v/>
      </c>
      <c r="N321" s="28">
        <f>J321+K321+M321</f>
        <v/>
      </c>
      <c r="O321" s="28">
        <f>F321-J321-K321</f>
        <v/>
      </c>
      <c r="P321" s="28">
        <f>I321+N321</f>
        <v/>
      </c>
      <c r="Q321" s="36">
        <f>(1+CF_Yield/12)^-A321</f>
        <v/>
      </c>
      <c r="R321" s="28">
        <f>P321*Q321</f>
        <v/>
      </c>
    </row>
    <row r="322">
      <c r="A322" s="26">
        <f>A321+1</f>
        <v/>
      </c>
      <c r="B322" s="28">
        <f>O321</f>
        <v/>
      </c>
      <c r="C322" s="33">
        <f>1-(1-CF_CPR)^(1/12)</f>
        <v/>
      </c>
      <c r="D322" s="33">
        <f>1-(1-CF_CDR)^(1/12)</f>
        <v/>
      </c>
      <c r="E322" s="28">
        <f>B322*D322</f>
        <v/>
      </c>
      <c r="F322" s="28">
        <f>B322-E322</f>
        <v/>
      </c>
      <c r="G322" s="28">
        <f>IF(F322&gt;0.005,PMT(WAC/12,Term-A322+1,-F322),0)</f>
        <v/>
      </c>
      <c r="H322" s="28">
        <f>F322*WAC/12</f>
        <v/>
      </c>
      <c r="I322" s="28">
        <f>F322*(WAC-ServFee)/12</f>
        <v/>
      </c>
      <c r="J322" s="28">
        <f>G322-H322</f>
        <v/>
      </c>
      <c r="K322" s="28">
        <f>(F322-J322)*C322</f>
        <v/>
      </c>
      <c r="L322" s="28">
        <f>E322*Severity</f>
        <v/>
      </c>
      <c r="M322" s="28">
        <f>E322-L322</f>
        <v/>
      </c>
      <c r="N322" s="28">
        <f>J322+K322+M322</f>
        <v/>
      </c>
      <c r="O322" s="28">
        <f>F322-J322-K322</f>
        <v/>
      </c>
      <c r="P322" s="28">
        <f>I322+N322</f>
        <v/>
      </c>
      <c r="Q322" s="36">
        <f>(1+CF_Yield/12)^-A322</f>
        <v/>
      </c>
      <c r="R322" s="28">
        <f>P322*Q322</f>
        <v/>
      </c>
    </row>
    <row r="323">
      <c r="A323" s="26">
        <f>A322+1</f>
        <v/>
      </c>
      <c r="B323" s="28">
        <f>O322</f>
        <v/>
      </c>
      <c r="C323" s="33">
        <f>1-(1-CF_CPR)^(1/12)</f>
        <v/>
      </c>
      <c r="D323" s="33">
        <f>1-(1-CF_CDR)^(1/12)</f>
        <v/>
      </c>
      <c r="E323" s="28">
        <f>B323*D323</f>
        <v/>
      </c>
      <c r="F323" s="28">
        <f>B323-E323</f>
        <v/>
      </c>
      <c r="G323" s="28">
        <f>IF(F323&gt;0.005,PMT(WAC/12,Term-A323+1,-F323),0)</f>
        <v/>
      </c>
      <c r="H323" s="28">
        <f>F323*WAC/12</f>
        <v/>
      </c>
      <c r="I323" s="28">
        <f>F323*(WAC-ServFee)/12</f>
        <v/>
      </c>
      <c r="J323" s="28">
        <f>G323-H323</f>
        <v/>
      </c>
      <c r="K323" s="28">
        <f>(F323-J323)*C323</f>
        <v/>
      </c>
      <c r="L323" s="28">
        <f>E323*Severity</f>
        <v/>
      </c>
      <c r="M323" s="28">
        <f>E323-L323</f>
        <v/>
      </c>
      <c r="N323" s="28">
        <f>J323+K323+M323</f>
        <v/>
      </c>
      <c r="O323" s="28">
        <f>F323-J323-K323</f>
        <v/>
      </c>
      <c r="P323" s="28">
        <f>I323+N323</f>
        <v/>
      </c>
      <c r="Q323" s="36">
        <f>(1+CF_Yield/12)^-A323</f>
        <v/>
      </c>
      <c r="R323" s="28">
        <f>P323*Q323</f>
        <v/>
      </c>
    </row>
    <row r="324">
      <c r="A324" s="26">
        <f>A323+1</f>
        <v/>
      </c>
      <c r="B324" s="28">
        <f>O323</f>
        <v/>
      </c>
      <c r="C324" s="33">
        <f>1-(1-CF_CPR)^(1/12)</f>
        <v/>
      </c>
      <c r="D324" s="33">
        <f>1-(1-CF_CDR)^(1/12)</f>
        <v/>
      </c>
      <c r="E324" s="28">
        <f>B324*D324</f>
        <v/>
      </c>
      <c r="F324" s="28">
        <f>B324-E324</f>
        <v/>
      </c>
      <c r="G324" s="28">
        <f>IF(F324&gt;0.005,PMT(WAC/12,Term-A324+1,-F324),0)</f>
        <v/>
      </c>
      <c r="H324" s="28">
        <f>F324*WAC/12</f>
        <v/>
      </c>
      <c r="I324" s="28">
        <f>F324*(WAC-ServFee)/12</f>
        <v/>
      </c>
      <c r="J324" s="28">
        <f>G324-H324</f>
        <v/>
      </c>
      <c r="K324" s="28">
        <f>(F324-J324)*C324</f>
        <v/>
      </c>
      <c r="L324" s="28">
        <f>E324*Severity</f>
        <v/>
      </c>
      <c r="M324" s="28">
        <f>E324-L324</f>
        <v/>
      </c>
      <c r="N324" s="28">
        <f>J324+K324+M324</f>
        <v/>
      </c>
      <c r="O324" s="28">
        <f>F324-J324-K324</f>
        <v/>
      </c>
      <c r="P324" s="28">
        <f>I324+N324</f>
        <v/>
      </c>
      <c r="Q324" s="36">
        <f>(1+CF_Yield/12)^-A324</f>
        <v/>
      </c>
      <c r="R324" s="28">
        <f>P324*Q324</f>
        <v/>
      </c>
    </row>
    <row r="325">
      <c r="A325" s="26">
        <f>A324+1</f>
        <v/>
      </c>
      <c r="B325" s="28">
        <f>O324</f>
        <v/>
      </c>
      <c r="C325" s="33">
        <f>1-(1-CF_CPR)^(1/12)</f>
        <v/>
      </c>
      <c r="D325" s="33">
        <f>1-(1-CF_CDR)^(1/12)</f>
        <v/>
      </c>
      <c r="E325" s="28">
        <f>B325*D325</f>
        <v/>
      </c>
      <c r="F325" s="28">
        <f>B325-E325</f>
        <v/>
      </c>
      <c r="G325" s="28">
        <f>IF(F325&gt;0.005,PMT(WAC/12,Term-A325+1,-F325),0)</f>
        <v/>
      </c>
      <c r="H325" s="28">
        <f>F325*WAC/12</f>
        <v/>
      </c>
      <c r="I325" s="28">
        <f>F325*(WAC-ServFee)/12</f>
        <v/>
      </c>
      <c r="J325" s="28">
        <f>G325-H325</f>
        <v/>
      </c>
      <c r="K325" s="28">
        <f>(F325-J325)*C325</f>
        <v/>
      </c>
      <c r="L325" s="28">
        <f>E325*Severity</f>
        <v/>
      </c>
      <c r="M325" s="28">
        <f>E325-L325</f>
        <v/>
      </c>
      <c r="N325" s="28">
        <f>J325+K325+M325</f>
        <v/>
      </c>
      <c r="O325" s="28">
        <f>F325-J325-K325</f>
        <v/>
      </c>
      <c r="P325" s="28">
        <f>I325+N325</f>
        <v/>
      </c>
      <c r="Q325" s="36">
        <f>(1+CF_Yield/12)^-A325</f>
        <v/>
      </c>
      <c r="R325" s="28">
        <f>P325*Q325</f>
        <v/>
      </c>
    </row>
    <row r="326">
      <c r="A326" s="26">
        <f>A325+1</f>
        <v/>
      </c>
      <c r="B326" s="28">
        <f>O325</f>
        <v/>
      </c>
      <c r="C326" s="33">
        <f>1-(1-CF_CPR)^(1/12)</f>
        <v/>
      </c>
      <c r="D326" s="33">
        <f>1-(1-CF_CDR)^(1/12)</f>
        <v/>
      </c>
      <c r="E326" s="28">
        <f>B326*D326</f>
        <v/>
      </c>
      <c r="F326" s="28">
        <f>B326-E326</f>
        <v/>
      </c>
      <c r="G326" s="28">
        <f>IF(F326&gt;0.005,PMT(WAC/12,Term-A326+1,-F326),0)</f>
        <v/>
      </c>
      <c r="H326" s="28">
        <f>F326*WAC/12</f>
        <v/>
      </c>
      <c r="I326" s="28">
        <f>F326*(WAC-ServFee)/12</f>
        <v/>
      </c>
      <c r="J326" s="28">
        <f>G326-H326</f>
        <v/>
      </c>
      <c r="K326" s="28">
        <f>(F326-J326)*C326</f>
        <v/>
      </c>
      <c r="L326" s="28">
        <f>E326*Severity</f>
        <v/>
      </c>
      <c r="M326" s="28">
        <f>E326-L326</f>
        <v/>
      </c>
      <c r="N326" s="28">
        <f>J326+K326+M326</f>
        <v/>
      </c>
      <c r="O326" s="28">
        <f>F326-J326-K326</f>
        <v/>
      </c>
      <c r="P326" s="28">
        <f>I326+N326</f>
        <v/>
      </c>
      <c r="Q326" s="36">
        <f>(1+CF_Yield/12)^-A326</f>
        <v/>
      </c>
      <c r="R326" s="28">
        <f>P326*Q326</f>
        <v/>
      </c>
    </row>
    <row r="327">
      <c r="A327" s="26">
        <f>A326+1</f>
        <v/>
      </c>
      <c r="B327" s="28">
        <f>O326</f>
        <v/>
      </c>
      <c r="C327" s="33">
        <f>1-(1-CF_CPR)^(1/12)</f>
        <v/>
      </c>
      <c r="D327" s="33">
        <f>1-(1-CF_CDR)^(1/12)</f>
        <v/>
      </c>
      <c r="E327" s="28">
        <f>B327*D327</f>
        <v/>
      </c>
      <c r="F327" s="28">
        <f>B327-E327</f>
        <v/>
      </c>
      <c r="G327" s="28">
        <f>IF(F327&gt;0.005,PMT(WAC/12,Term-A327+1,-F327),0)</f>
        <v/>
      </c>
      <c r="H327" s="28">
        <f>F327*WAC/12</f>
        <v/>
      </c>
      <c r="I327" s="28">
        <f>F327*(WAC-ServFee)/12</f>
        <v/>
      </c>
      <c r="J327" s="28">
        <f>G327-H327</f>
        <v/>
      </c>
      <c r="K327" s="28">
        <f>(F327-J327)*C327</f>
        <v/>
      </c>
      <c r="L327" s="28">
        <f>E327*Severity</f>
        <v/>
      </c>
      <c r="M327" s="28">
        <f>E327-L327</f>
        <v/>
      </c>
      <c r="N327" s="28">
        <f>J327+K327+M327</f>
        <v/>
      </c>
      <c r="O327" s="28">
        <f>F327-J327-K327</f>
        <v/>
      </c>
      <c r="P327" s="28">
        <f>I327+N327</f>
        <v/>
      </c>
      <c r="Q327" s="36">
        <f>(1+CF_Yield/12)^-A327</f>
        <v/>
      </c>
      <c r="R327" s="28">
        <f>P327*Q327</f>
        <v/>
      </c>
    </row>
    <row r="328">
      <c r="A328" s="26">
        <f>A327+1</f>
        <v/>
      </c>
      <c r="B328" s="28">
        <f>O327</f>
        <v/>
      </c>
      <c r="C328" s="33">
        <f>1-(1-CF_CPR)^(1/12)</f>
        <v/>
      </c>
      <c r="D328" s="33">
        <f>1-(1-CF_CDR)^(1/12)</f>
        <v/>
      </c>
      <c r="E328" s="28">
        <f>B328*D328</f>
        <v/>
      </c>
      <c r="F328" s="28">
        <f>B328-E328</f>
        <v/>
      </c>
      <c r="G328" s="28">
        <f>IF(F328&gt;0.005,PMT(WAC/12,Term-A328+1,-F328),0)</f>
        <v/>
      </c>
      <c r="H328" s="28">
        <f>F328*WAC/12</f>
        <v/>
      </c>
      <c r="I328" s="28">
        <f>F328*(WAC-ServFee)/12</f>
        <v/>
      </c>
      <c r="J328" s="28">
        <f>G328-H328</f>
        <v/>
      </c>
      <c r="K328" s="28">
        <f>(F328-J328)*C328</f>
        <v/>
      </c>
      <c r="L328" s="28">
        <f>E328*Severity</f>
        <v/>
      </c>
      <c r="M328" s="28">
        <f>E328-L328</f>
        <v/>
      </c>
      <c r="N328" s="28">
        <f>J328+K328+M328</f>
        <v/>
      </c>
      <c r="O328" s="28">
        <f>F328-J328-K328</f>
        <v/>
      </c>
      <c r="P328" s="28">
        <f>I328+N328</f>
        <v/>
      </c>
      <c r="Q328" s="36">
        <f>(1+CF_Yield/12)^-A328</f>
        <v/>
      </c>
      <c r="R328" s="28">
        <f>P328*Q328</f>
        <v/>
      </c>
    </row>
    <row r="329">
      <c r="A329" s="26">
        <f>A328+1</f>
        <v/>
      </c>
      <c r="B329" s="28">
        <f>O328</f>
        <v/>
      </c>
      <c r="C329" s="33">
        <f>1-(1-CF_CPR)^(1/12)</f>
        <v/>
      </c>
      <c r="D329" s="33">
        <f>1-(1-CF_CDR)^(1/12)</f>
        <v/>
      </c>
      <c r="E329" s="28">
        <f>B329*D329</f>
        <v/>
      </c>
      <c r="F329" s="28">
        <f>B329-E329</f>
        <v/>
      </c>
      <c r="G329" s="28">
        <f>IF(F329&gt;0.005,PMT(WAC/12,Term-A329+1,-F329),0)</f>
        <v/>
      </c>
      <c r="H329" s="28">
        <f>F329*WAC/12</f>
        <v/>
      </c>
      <c r="I329" s="28">
        <f>F329*(WAC-ServFee)/12</f>
        <v/>
      </c>
      <c r="J329" s="28">
        <f>G329-H329</f>
        <v/>
      </c>
      <c r="K329" s="28">
        <f>(F329-J329)*C329</f>
        <v/>
      </c>
      <c r="L329" s="28">
        <f>E329*Severity</f>
        <v/>
      </c>
      <c r="M329" s="28">
        <f>E329-L329</f>
        <v/>
      </c>
      <c r="N329" s="28">
        <f>J329+K329+M329</f>
        <v/>
      </c>
      <c r="O329" s="28">
        <f>F329-J329-K329</f>
        <v/>
      </c>
      <c r="P329" s="28">
        <f>I329+N329</f>
        <v/>
      </c>
      <c r="Q329" s="36">
        <f>(1+CF_Yield/12)^-A329</f>
        <v/>
      </c>
      <c r="R329" s="28">
        <f>P329*Q329</f>
        <v/>
      </c>
    </row>
    <row r="330">
      <c r="A330" s="26">
        <f>A329+1</f>
        <v/>
      </c>
      <c r="B330" s="28">
        <f>O329</f>
        <v/>
      </c>
      <c r="C330" s="33">
        <f>1-(1-CF_CPR)^(1/12)</f>
        <v/>
      </c>
      <c r="D330" s="33">
        <f>1-(1-CF_CDR)^(1/12)</f>
        <v/>
      </c>
      <c r="E330" s="28">
        <f>B330*D330</f>
        <v/>
      </c>
      <c r="F330" s="28">
        <f>B330-E330</f>
        <v/>
      </c>
      <c r="G330" s="28">
        <f>IF(F330&gt;0.005,PMT(WAC/12,Term-A330+1,-F330),0)</f>
        <v/>
      </c>
      <c r="H330" s="28">
        <f>F330*WAC/12</f>
        <v/>
      </c>
      <c r="I330" s="28">
        <f>F330*(WAC-ServFee)/12</f>
        <v/>
      </c>
      <c r="J330" s="28">
        <f>G330-H330</f>
        <v/>
      </c>
      <c r="K330" s="28">
        <f>(F330-J330)*C330</f>
        <v/>
      </c>
      <c r="L330" s="28">
        <f>E330*Severity</f>
        <v/>
      </c>
      <c r="M330" s="28">
        <f>E330-L330</f>
        <v/>
      </c>
      <c r="N330" s="28">
        <f>J330+K330+M330</f>
        <v/>
      </c>
      <c r="O330" s="28">
        <f>F330-J330-K330</f>
        <v/>
      </c>
      <c r="P330" s="28">
        <f>I330+N330</f>
        <v/>
      </c>
      <c r="Q330" s="36">
        <f>(1+CF_Yield/12)^-A330</f>
        <v/>
      </c>
      <c r="R330" s="28">
        <f>P330*Q330</f>
        <v/>
      </c>
    </row>
    <row r="331">
      <c r="A331" s="26">
        <f>A330+1</f>
        <v/>
      </c>
      <c r="B331" s="28">
        <f>O330</f>
        <v/>
      </c>
      <c r="C331" s="33">
        <f>1-(1-CF_CPR)^(1/12)</f>
        <v/>
      </c>
      <c r="D331" s="33">
        <f>1-(1-CF_CDR)^(1/12)</f>
        <v/>
      </c>
      <c r="E331" s="28">
        <f>B331*D331</f>
        <v/>
      </c>
      <c r="F331" s="28">
        <f>B331-E331</f>
        <v/>
      </c>
      <c r="G331" s="28">
        <f>IF(F331&gt;0.005,PMT(WAC/12,Term-A331+1,-F331),0)</f>
        <v/>
      </c>
      <c r="H331" s="28">
        <f>F331*WAC/12</f>
        <v/>
      </c>
      <c r="I331" s="28">
        <f>F331*(WAC-ServFee)/12</f>
        <v/>
      </c>
      <c r="J331" s="28">
        <f>G331-H331</f>
        <v/>
      </c>
      <c r="K331" s="28">
        <f>(F331-J331)*C331</f>
        <v/>
      </c>
      <c r="L331" s="28">
        <f>E331*Severity</f>
        <v/>
      </c>
      <c r="M331" s="28">
        <f>E331-L331</f>
        <v/>
      </c>
      <c r="N331" s="28">
        <f>J331+K331+M331</f>
        <v/>
      </c>
      <c r="O331" s="28">
        <f>F331-J331-K331</f>
        <v/>
      </c>
      <c r="P331" s="28">
        <f>I331+N331</f>
        <v/>
      </c>
      <c r="Q331" s="36">
        <f>(1+CF_Yield/12)^-A331</f>
        <v/>
      </c>
      <c r="R331" s="28">
        <f>P331*Q331</f>
        <v/>
      </c>
    </row>
    <row r="332">
      <c r="A332" s="26">
        <f>A331+1</f>
        <v/>
      </c>
      <c r="B332" s="28">
        <f>O331</f>
        <v/>
      </c>
      <c r="C332" s="33">
        <f>1-(1-CF_CPR)^(1/12)</f>
        <v/>
      </c>
      <c r="D332" s="33">
        <f>1-(1-CF_CDR)^(1/12)</f>
        <v/>
      </c>
      <c r="E332" s="28">
        <f>B332*D332</f>
        <v/>
      </c>
      <c r="F332" s="28">
        <f>B332-E332</f>
        <v/>
      </c>
      <c r="G332" s="28">
        <f>IF(F332&gt;0.005,PMT(WAC/12,Term-A332+1,-F332),0)</f>
        <v/>
      </c>
      <c r="H332" s="28">
        <f>F332*WAC/12</f>
        <v/>
      </c>
      <c r="I332" s="28">
        <f>F332*(WAC-ServFee)/12</f>
        <v/>
      </c>
      <c r="J332" s="28">
        <f>G332-H332</f>
        <v/>
      </c>
      <c r="K332" s="28">
        <f>(F332-J332)*C332</f>
        <v/>
      </c>
      <c r="L332" s="28">
        <f>E332*Severity</f>
        <v/>
      </c>
      <c r="M332" s="28">
        <f>E332-L332</f>
        <v/>
      </c>
      <c r="N332" s="28">
        <f>J332+K332+M332</f>
        <v/>
      </c>
      <c r="O332" s="28">
        <f>F332-J332-K332</f>
        <v/>
      </c>
      <c r="P332" s="28">
        <f>I332+N332</f>
        <v/>
      </c>
      <c r="Q332" s="36">
        <f>(1+CF_Yield/12)^-A332</f>
        <v/>
      </c>
      <c r="R332" s="28">
        <f>P332*Q332</f>
        <v/>
      </c>
    </row>
    <row r="333">
      <c r="A333" s="26">
        <f>A332+1</f>
        <v/>
      </c>
      <c r="B333" s="28">
        <f>O332</f>
        <v/>
      </c>
      <c r="C333" s="33">
        <f>1-(1-CF_CPR)^(1/12)</f>
        <v/>
      </c>
      <c r="D333" s="33">
        <f>1-(1-CF_CDR)^(1/12)</f>
        <v/>
      </c>
      <c r="E333" s="28">
        <f>B333*D333</f>
        <v/>
      </c>
      <c r="F333" s="28">
        <f>B333-E333</f>
        <v/>
      </c>
      <c r="G333" s="28">
        <f>IF(F333&gt;0.005,PMT(WAC/12,Term-A333+1,-F333),0)</f>
        <v/>
      </c>
      <c r="H333" s="28">
        <f>F333*WAC/12</f>
        <v/>
      </c>
      <c r="I333" s="28">
        <f>F333*(WAC-ServFee)/12</f>
        <v/>
      </c>
      <c r="J333" s="28">
        <f>G333-H333</f>
        <v/>
      </c>
      <c r="K333" s="28">
        <f>(F333-J333)*C333</f>
        <v/>
      </c>
      <c r="L333" s="28">
        <f>E333*Severity</f>
        <v/>
      </c>
      <c r="M333" s="28">
        <f>E333-L333</f>
        <v/>
      </c>
      <c r="N333" s="28">
        <f>J333+K333+M333</f>
        <v/>
      </c>
      <c r="O333" s="28">
        <f>F333-J333-K333</f>
        <v/>
      </c>
      <c r="P333" s="28">
        <f>I333+N333</f>
        <v/>
      </c>
      <c r="Q333" s="36">
        <f>(1+CF_Yield/12)^-A333</f>
        <v/>
      </c>
      <c r="R333" s="28">
        <f>P333*Q333</f>
        <v/>
      </c>
    </row>
    <row r="334">
      <c r="A334" s="26">
        <f>A333+1</f>
        <v/>
      </c>
      <c r="B334" s="28">
        <f>O333</f>
        <v/>
      </c>
      <c r="C334" s="33">
        <f>1-(1-CF_CPR)^(1/12)</f>
        <v/>
      </c>
      <c r="D334" s="33">
        <f>1-(1-CF_CDR)^(1/12)</f>
        <v/>
      </c>
      <c r="E334" s="28">
        <f>B334*D334</f>
        <v/>
      </c>
      <c r="F334" s="28">
        <f>B334-E334</f>
        <v/>
      </c>
      <c r="G334" s="28">
        <f>IF(F334&gt;0.005,PMT(WAC/12,Term-A334+1,-F334),0)</f>
        <v/>
      </c>
      <c r="H334" s="28">
        <f>F334*WAC/12</f>
        <v/>
      </c>
      <c r="I334" s="28">
        <f>F334*(WAC-ServFee)/12</f>
        <v/>
      </c>
      <c r="J334" s="28">
        <f>G334-H334</f>
        <v/>
      </c>
      <c r="K334" s="28">
        <f>(F334-J334)*C334</f>
        <v/>
      </c>
      <c r="L334" s="28">
        <f>E334*Severity</f>
        <v/>
      </c>
      <c r="M334" s="28">
        <f>E334-L334</f>
        <v/>
      </c>
      <c r="N334" s="28">
        <f>J334+K334+M334</f>
        <v/>
      </c>
      <c r="O334" s="28">
        <f>F334-J334-K334</f>
        <v/>
      </c>
      <c r="P334" s="28">
        <f>I334+N334</f>
        <v/>
      </c>
      <c r="Q334" s="36">
        <f>(1+CF_Yield/12)^-A334</f>
        <v/>
      </c>
      <c r="R334" s="28">
        <f>P334*Q334</f>
        <v/>
      </c>
    </row>
    <row r="335">
      <c r="A335" s="26">
        <f>A334+1</f>
        <v/>
      </c>
      <c r="B335" s="28">
        <f>O334</f>
        <v/>
      </c>
      <c r="C335" s="33">
        <f>1-(1-CF_CPR)^(1/12)</f>
        <v/>
      </c>
      <c r="D335" s="33">
        <f>1-(1-CF_CDR)^(1/12)</f>
        <v/>
      </c>
      <c r="E335" s="28">
        <f>B335*D335</f>
        <v/>
      </c>
      <c r="F335" s="28">
        <f>B335-E335</f>
        <v/>
      </c>
      <c r="G335" s="28">
        <f>IF(F335&gt;0.005,PMT(WAC/12,Term-A335+1,-F335),0)</f>
        <v/>
      </c>
      <c r="H335" s="28">
        <f>F335*WAC/12</f>
        <v/>
      </c>
      <c r="I335" s="28">
        <f>F335*(WAC-ServFee)/12</f>
        <v/>
      </c>
      <c r="J335" s="28">
        <f>G335-H335</f>
        <v/>
      </c>
      <c r="K335" s="28">
        <f>(F335-J335)*C335</f>
        <v/>
      </c>
      <c r="L335" s="28">
        <f>E335*Severity</f>
        <v/>
      </c>
      <c r="M335" s="28">
        <f>E335-L335</f>
        <v/>
      </c>
      <c r="N335" s="28">
        <f>J335+K335+M335</f>
        <v/>
      </c>
      <c r="O335" s="28">
        <f>F335-J335-K335</f>
        <v/>
      </c>
      <c r="P335" s="28">
        <f>I335+N335</f>
        <v/>
      </c>
      <c r="Q335" s="36">
        <f>(1+CF_Yield/12)^-A335</f>
        <v/>
      </c>
      <c r="R335" s="28">
        <f>P335*Q335</f>
        <v/>
      </c>
    </row>
    <row r="336">
      <c r="A336" s="26">
        <f>A335+1</f>
        <v/>
      </c>
      <c r="B336" s="28">
        <f>O335</f>
        <v/>
      </c>
      <c r="C336" s="33">
        <f>1-(1-CF_CPR)^(1/12)</f>
        <v/>
      </c>
      <c r="D336" s="33">
        <f>1-(1-CF_CDR)^(1/12)</f>
        <v/>
      </c>
      <c r="E336" s="28">
        <f>B336*D336</f>
        <v/>
      </c>
      <c r="F336" s="28">
        <f>B336-E336</f>
        <v/>
      </c>
      <c r="G336" s="28">
        <f>IF(F336&gt;0.005,PMT(WAC/12,Term-A336+1,-F336),0)</f>
        <v/>
      </c>
      <c r="H336" s="28">
        <f>F336*WAC/12</f>
        <v/>
      </c>
      <c r="I336" s="28">
        <f>F336*(WAC-ServFee)/12</f>
        <v/>
      </c>
      <c r="J336" s="28">
        <f>G336-H336</f>
        <v/>
      </c>
      <c r="K336" s="28">
        <f>(F336-J336)*C336</f>
        <v/>
      </c>
      <c r="L336" s="28">
        <f>E336*Severity</f>
        <v/>
      </c>
      <c r="M336" s="28">
        <f>E336-L336</f>
        <v/>
      </c>
      <c r="N336" s="28">
        <f>J336+K336+M336</f>
        <v/>
      </c>
      <c r="O336" s="28">
        <f>F336-J336-K336</f>
        <v/>
      </c>
      <c r="P336" s="28">
        <f>I336+N336</f>
        <v/>
      </c>
      <c r="Q336" s="36">
        <f>(1+CF_Yield/12)^-A336</f>
        <v/>
      </c>
      <c r="R336" s="28">
        <f>P336*Q336</f>
        <v/>
      </c>
    </row>
    <row r="337">
      <c r="A337" s="26">
        <f>A336+1</f>
        <v/>
      </c>
      <c r="B337" s="28">
        <f>O336</f>
        <v/>
      </c>
      <c r="C337" s="33">
        <f>1-(1-CF_CPR)^(1/12)</f>
        <v/>
      </c>
      <c r="D337" s="33">
        <f>1-(1-CF_CDR)^(1/12)</f>
        <v/>
      </c>
      <c r="E337" s="28">
        <f>B337*D337</f>
        <v/>
      </c>
      <c r="F337" s="28">
        <f>B337-E337</f>
        <v/>
      </c>
      <c r="G337" s="28">
        <f>IF(F337&gt;0.005,PMT(WAC/12,Term-A337+1,-F337),0)</f>
        <v/>
      </c>
      <c r="H337" s="28">
        <f>F337*WAC/12</f>
        <v/>
      </c>
      <c r="I337" s="28">
        <f>F337*(WAC-ServFee)/12</f>
        <v/>
      </c>
      <c r="J337" s="28">
        <f>G337-H337</f>
        <v/>
      </c>
      <c r="K337" s="28">
        <f>(F337-J337)*C337</f>
        <v/>
      </c>
      <c r="L337" s="28">
        <f>E337*Severity</f>
        <v/>
      </c>
      <c r="M337" s="28">
        <f>E337-L337</f>
        <v/>
      </c>
      <c r="N337" s="28">
        <f>J337+K337+M337</f>
        <v/>
      </c>
      <c r="O337" s="28">
        <f>F337-J337-K337</f>
        <v/>
      </c>
      <c r="P337" s="28">
        <f>I337+N337</f>
        <v/>
      </c>
      <c r="Q337" s="36">
        <f>(1+CF_Yield/12)^-A337</f>
        <v/>
      </c>
      <c r="R337" s="28">
        <f>P337*Q337</f>
        <v/>
      </c>
    </row>
    <row r="338">
      <c r="A338" s="26">
        <f>A337+1</f>
        <v/>
      </c>
      <c r="B338" s="28">
        <f>O337</f>
        <v/>
      </c>
      <c r="C338" s="33">
        <f>1-(1-CF_CPR)^(1/12)</f>
        <v/>
      </c>
      <c r="D338" s="33">
        <f>1-(1-CF_CDR)^(1/12)</f>
        <v/>
      </c>
      <c r="E338" s="28">
        <f>B338*D338</f>
        <v/>
      </c>
      <c r="F338" s="28">
        <f>B338-E338</f>
        <v/>
      </c>
      <c r="G338" s="28">
        <f>IF(F338&gt;0.005,PMT(WAC/12,Term-A338+1,-F338),0)</f>
        <v/>
      </c>
      <c r="H338" s="28">
        <f>F338*WAC/12</f>
        <v/>
      </c>
      <c r="I338" s="28">
        <f>F338*(WAC-ServFee)/12</f>
        <v/>
      </c>
      <c r="J338" s="28">
        <f>G338-H338</f>
        <v/>
      </c>
      <c r="K338" s="28">
        <f>(F338-J338)*C338</f>
        <v/>
      </c>
      <c r="L338" s="28">
        <f>E338*Severity</f>
        <v/>
      </c>
      <c r="M338" s="28">
        <f>E338-L338</f>
        <v/>
      </c>
      <c r="N338" s="28">
        <f>J338+K338+M338</f>
        <v/>
      </c>
      <c r="O338" s="28">
        <f>F338-J338-K338</f>
        <v/>
      </c>
      <c r="P338" s="28">
        <f>I338+N338</f>
        <v/>
      </c>
      <c r="Q338" s="36">
        <f>(1+CF_Yield/12)^-A338</f>
        <v/>
      </c>
      <c r="R338" s="28">
        <f>P338*Q338</f>
        <v/>
      </c>
    </row>
    <row r="339">
      <c r="A339" s="26">
        <f>A338+1</f>
        <v/>
      </c>
      <c r="B339" s="28">
        <f>O338</f>
        <v/>
      </c>
      <c r="C339" s="33">
        <f>1-(1-CF_CPR)^(1/12)</f>
        <v/>
      </c>
      <c r="D339" s="33">
        <f>1-(1-CF_CDR)^(1/12)</f>
        <v/>
      </c>
      <c r="E339" s="28">
        <f>B339*D339</f>
        <v/>
      </c>
      <c r="F339" s="28">
        <f>B339-E339</f>
        <v/>
      </c>
      <c r="G339" s="28">
        <f>IF(F339&gt;0.005,PMT(WAC/12,Term-A339+1,-F339),0)</f>
        <v/>
      </c>
      <c r="H339" s="28">
        <f>F339*WAC/12</f>
        <v/>
      </c>
      <c r="I339" s="28">
        <f>F339*(WAC-ServFee)/12</f>
        <v/>
      </c>
      <c r="J339" s="28">
        <f>G339-H339</f>
        <v/>
      </c>
      <c r="K339" s="28">
        <f>(F339-J339)*C339</f>
        <v/>
      </c>
      <c r="L339" s="28">
        <f>E339*Severity</f>
        <v/>
      </c>
      <c r="M339" s="28">
        <f>E339-L339</f>
        <v/>
      </c>
      <c r="N339" s="28">
        <f>J339+K339+M339</f>
        <v/>
      </c>
      <c r="O339" s="28">
        <f>F339-J339-K339</f>
        <v/>
      </c>
      <c r="P339" s="28">
        <f>I339+N339</f>
        <v/>
      </c>
      <c r="Q339" s="36">
        <f>(1+CF_Yield/12)^-A339</f>
        <v/>
      </c>
      <c r="R339" s="28">
        <f>P339*Q339</f>
        <v/>
      </c>
    </row>
    <row r="340">
      <c r="A340" s="26">
        <f>A339+1</f>
        <v/>
      </c>
      <c r="B340" s="28">
        <f>O339</f>
        <v/>
      </c>
      <c r="C340" s="33">
        <f>1-(1-CF_CPR)^(1/12)</f>
        <v/>
      </c>
      <c r="D340" s="33">
        <f>1-(1-CF_CDR)^(1/12)</f>
        <v/>
      </c>
      <c r="E340" s="28">
        <f>B340*D340</f>
        <v/>
      </c>
      <c r="F340" s="28">
        <f>B340-E340</f>
        <v/>
      </c>
      <c r="G340" s="28">
        <f>IF(F340&gt;0.005,PMT(WAC/12,Term-A340+1,-F340),0)</f>
        <v/>
      </c>
      <c r="H340" s="28">
        <f>F340*WAC/12</f>
        <v/>
      </c>
      <c r="I340" s="28">
        <f>F340*(WAC-ServFee)/12</f>
        <v/>
      </c>
      <c r="J340" s="28">
        <f>G340-H340</f>
        <v/>
      </c>
      <c r="K340" s="28">
        <f>(F340-J340)*C340</f>
        <v/>
      </c>
      <c r="L340" s="28">
        <f>E340*Severity</f>
        <v/>
      </c>
      <c r="M340" s="28">
        <f>E340-L340</f>
        <v/>
      </c>
      <c r="N340" s="28">
        <f>J340+K340+M340</f>
        <v/>
      </c>
      <c r="O340" s="28">
        <f>F340-J340-K340</f>
        <v/>
      </c>
      <c r="P340" s="28">
        <f>I340+N340</f>
        <v/>
      </c>
      <c r="Q340" s="36">
        <f>(1+CF_Yield/12)^-A340</f>
        <v/>
      </c>
      <c r="R340" s="28">
        <f>P340*Q340</f>
        <v/>
      </c>
    </row>
    <row r="341">
      <c r="A341" s="26">
        <f>A340+1</f>
        <v/>
      </c>
      <c r="B341" s="28">
        <f>O340</f>
        <v/>
      </c>
      <c r="C341" s="33">
        <f>1-(1-CF_CPR)^(1/12)</f>
        <v/>
      </c>
      <c r="D341" s="33">
        <f>1-(1-CF_CDR)^(1/12)</f>
        <v/>
      </c>
      <c r="E341" s="28">
        <f>B341*D341</f>
        <v/>
      </c>
      <c r="F341" s="28">
        <f>B341-E341</f>
        <v/>
      </c>
      <c r="G341" s="28">
        <f>IF(F341&gt;0.005,PMT(WAC/12,Term-A341+1,-F341),0)</f>
        <v/>
      </c>
      <c r="H341" s="28">
        <f>F341*WAC/12</f>
        <v/>
      </c>
      <c r="I341" s="28">
        <f>F341*(WAC-ServFee)/12</f>
        <v/>
      </c>
      <c r="J341" s="28">
        <f>G341-H341</f>
        <v/>
      </c>
      <c r="K341" s="28">
        <f>(F341-J341)*C341</f>
        <v/>
      </c>
      <c r="L341" s="28">
        <f>E341*Severity</f>
        <v/>
      </c>
      <c r="M341" s="28">
        <f>E341-L341</f>
        <v/>
      </c>
      <c r="N341" s="28">
        <f>J341+K341+M341</f>
        <v/>
      </c>
      <c r="O341" s="28">
        <f>F341-J341-K341</f>
        <v/>
      </c>
      <c r="P341" s="28">
        <f>I341+N341</f>
        <v/>
      </c>
      <c r="Q341" s="36">
        <f>(1+CF_Yield/12)^-A341</f>
        <v/>
      </c>
      <c r="R341" s="28">
        <f>P341*Q341</f>
        <v/>
      </c>
    </row>
    <row r="342">
      <c r="A342" s="26">
        <f>A341+1</f>
        <v/>
      </c>
      <c r="B342" s="28">
        <f>O341</f>
        <v/>
      </c>
      <c r="C342" s="33">
        <f>1-(1-CF_CPR)^(1/12)</f>
        <v/>
      </c>
      <c r="D342" s="33">
        <f>1-(1-CF_CDR)^(1/12)</f>
        <v/>
      </c>
      <c r="E342" s="28">
        <f>B342*D342</f>
        <v/>
      </c>
      <c r="F342" s="28">
        <f>B342-E342</f>
        <v/>
      </c>
      <c r="G342" s="28">
        <f>IF(F342&gt;0.005,PMT(WAC/12,Term-A342+1,-F342),0)</f>
        <v/>
      </c>
      <c r="H342" s="28">
        <f>F342*WAC/12</f>
        <v/>
      </c>
      <c r="I342" s="28">
        <f>F342*(WAC-ServFee)/12</f>
        <v/>
      </c>
      <c r="J342" s="28">
        <f>G342-H342</f>
        <v/>
      </c>
      <c r="K342" s="28">
        <f>(F342-J342)*C342</f>
        <v/>
      </c>
      <c r="L342" s="28">
        <f>E342*Severity</f>
        <v/>
      </c>
      <c r="M342" s="28">
        <f>E342-L342</f>
        <v/>
      </c>
      <c r="N342" s="28">
        <f>J342+K342+M342</f>
        <v/>
      </c>
      <c r="O342" s="28">
        <f>F342-J342-K342</f>
        <v/>
      </c>
      <c r="P342" s="28">
        <f>I342+N342</f>
        <v/>
      </c>
      <c r="Q342" s="36">
        <f>(1+CF_Yield/12)^-A342</f>
        <v/>
      </c>
      <c r="R342" s="28">
        <f>P342*Q342</f>
        <v/>
      </c>
    </row>
    <row r="343">
      <c r="A343" s="26">
        <f>A342+1</f>
        <v/>
      </c>
      <c r="B343" s="28">
        <f>O342</f>
        <v/>
      </c>
      <c r="C343" s="33">
        <f>1-(1-CF_CPR)^(1/12)</f>
        <v/>
      </c>
      <c r="D343" s="33">
        <f>1-(1-CF_CDR)^(1/12)</f>
        <v/>
      </c>
      <c r="E343" s="28">
        <f>B343*D343</f>
        <v/>
      </c>
      <c r="F343" s="28">
        <f>B343-E343</f>
        <v/>
      </c>
      <c r="G343" s="28">
        <f>IF(F343&gt;0.005,PMT(WAC/12,Term-A343+1,-F343),0)</f>
        <v/>
      </c>
      <c r="H343" s="28">
        <f>F343*WAC/12</f>
        <v/>
      </c>
      <c r="I343" s="28">
        <f>F343*(WAC-ServFee)/12</f>
        <v/>
      </c>
      <c r="J343" s="28">
        <f>G343-H343</f>
        <v/>
      </c>
      <c r="K343" s="28">
        <f>(F343-J343)*C343</f>
        <v/>
      </c>
      <c r="L343" s="28">
        <f>E343*Severity</f>
        <v/>
      </c>
      <c r="M343" s="28">
        <f>E343-L343</f>
        <v/>
      </c>
      <c r="N343" s="28">
        <f>J343+K343+M343</f>
        <v/>
      </c>
      <c r="O343" s="28">
        <f>F343-J343-K343</f>
        <v/>
      </c>
      <c r="P343" s="28">
        <f>I343+N343</f>
        <v/>
      </c>
      <c r="Q343" s="36">
        <f>(1+CF_Yield/12)^-A343</f>
        <v/>
      </c>
      <c r="R343" s="28">
        <f>P343*Q343</f>
        <v/>
      </c>
    </row>
    <row r="344">
      <c r="A344" s="26">
        <f>A343+1</f>
        <v/>
      </c>
      <c r="B344" s="28">
        <f>O343</f>
        <v/>
      </c>
      <c r="C344" s="33">
        <f>1-(1-CF_CPR)^(1/12)</f>
        <v/>
      </c>
      <c r="D344" s="33">
        <f>1-(1-CF_CDR)^(1/12)</f>
        <v/>
      </c>
      <c r="E344" s="28">
        <f>B344*D344</f>
        <v/>
      </c>
      <c r="F344" s="28">
        <f>B344-E344</f>
        <v/>
      </c>
      <c r="G344" s="28">
        <f>IF(F344&gt;0.005,PMT(WAC/12,Term-A344+1,-F344),0)</f>
        <v/>
      </c>
      <c r="H344" s="28">
        <f>F344*WAC/12</f>
        <v/>
      </c>
      <c r="I344" s="28">
        <f>F344*(WAC-ServFee)/12</f>
        <v/>
      </c>
      <c r="J344" s="28">
        <f>G344-H344</f>
        <v/>
      </c>
      <c r="K344" s="28">
        <f>(F344-J344)*C344</f>
        <v/>
      </c>
      <c r="L344" s="28">
        <f>E344*Severity</f>
        <v/>
      </c>
      <c r="M344" s="28">
        <f>E344-L344</f>
        <v/>
      </c>
      <c r="N344" s="28">
        <f>J344+K344+M344</f>
        <v/>
      </c>
      <c r="O344" s="28">
        <f>F344-J344-K344</f>
        <v/>
      </c>
      <c r="P344" s="28">
        <f>I344+N344</f>
        <v/>
      </c>
      <c r="Q344" s="36">
        <f>(1+CF_Yield/12)^-A344</f>
        <v/>
      </c>
      <c r="R344" s="28">
        <f>P344*Q344</f>
        <v/>
      </c>
    </row>
    <row r="345">
      <c r="A345" s="26">
        <f>A344+1</f>
        <v/>
      </c>
      <c r="B345" s="28">
        <f>O344</f>
        <v/>
      </c>
      <c r="C345" s="33">
        <f>1-(1-CF_CPR)^(1/12)</f>
        <v/>
      </c>
      <c r="D345" s="33">
        <f>1-(1-CF_CDR)^(1/12)</f>
        <v/>
      </c>
      <c r="E345" s="28">
        <f>B345*D345</f>
        <v/>
      </c>
      <c r="F345" s="28">
        <f>B345-E345</f>
        <v/>
      </c>
      <c r="G345" s="28">
        <f>IF(F345&gt;0.005,PMT(WAC/12,Term-A345+1,-F345),0)</f>
        <v/>
      </c>
      <c r="H345" s="28">
        <f>F345*WAC/12</f>
        <v/>
      </c>
      <c r="I345" s="28">
        <f>F345*(WAC-ServFee)/12</f>
        <v/>
      </c>
      <c r="J345" s="28">
        <f>G345-H345</f>
        <v/>
      </c>
      <c r="K345" s="28">
        <f>(F345-J345)*C345</f>
        <v/>
      </c>
      <c r="L345" s="28">
        <f>E345*Severity</f>
        <v/>
      </c>
      <c r="M345" s="28">
        <f>E345-L345</f>
        <v/>
      </c>
      <c r="N345" s="28">
        <f>J345+K345+M345</f>
        <v/>
      </c>
      <c r="O345" s="28">
        <f>F345-J345-K345</f>
        <v/>
      </c>
      <c r="P345" s="28">
        <f>I345+N345</f>
        <v/>
      </c>
      <c r="Q345" s="36">
        <f>(1+CF_Yield/12)^-A345</f>
        <v/>
      </c>
      <c r="R345" s="28">
        <f>P345*Q345</f>
        <v/>
      </c>
    </row>
    <row r="346">
      <c r="A346" s="26">
        <f>A345+1</f>
        <v/>
      </c>
      <c r="B346" s="28">
        <f>O345</f>
        <v/>
      </c>
      <c r="C346" s="33">
        <f>1-(1-CF_CPR)^(1/12)</f>
        <v/>
      </c>
      <c r="D346" s="33">
        <f>1-(1-CF_CDR)^(1/12)</f>
        <v/>
      </c>
      <c r="E346" s="28">
        <f>B346*D346</f>
        <v/>
      </c>
      <c r="F346" s="28">
        <f>B346-E346</f>
        <v/>
      </c>
      <c r="G346" s="28">
        <f>IF(F346&gt;0.005,PMT(WAC/12,Term-A346+1,-F346),0)</f>
        <v/>
      </c>
      <c r="H346" s="28">
        <f>F346*WAC/12</f>
        <v/>
      </c>
      <c r="I346" s="28">
        <f>F346*(WAC-ServFee)/12</f>
        <v/>
      </c>
      <c r="J346" s="28">
        <f>G346-H346</f>
        <v/>
      </c>
      <c r="K346" s="28">
        <f>(F346-J346)*C346</f>
        <v/>
      </c>
      <c r="L346" s="28">
        <f>E346*Severity</f>
        <v/>
      </c>
      <c r="M346" s="28">
        <f>E346-L346</f>
        <v/>
      </c>
      <c r="N346" s="28">
        <f>J346+K346+M346</f>
        <v/>
      </c>
      <c r="O346" s="28">
        <f>F346-J346-K346</f>
        <v/>
      </c>
      <c r="P346" s="28">
        <f>I346+N346</f>
        <v/>
      </c>
      <c r="Q346" s="36">
        <f>(1+CF_Yield/12)^-A346</f>
        <v/>
      </c>
      <c r="R346" s="28">
        <f>P346*Q346</f>
        <v/>
      </c>
    </row>
    <row r="347">
      <c r="A347" s="26">
        <f>A346+1</f>
        <v/>
      </c>
      <c r="B347" s="28">
        <f>O346</f>
        <v/>
      </c>
      <c r="C347" s="33">
        <f>1-(1-CF_CPR)^(1/12)</f>
        <v/>
      </c>
      <c r="D347" s="33">
        <f>1-(1-CF_CDR)^(1/12)</f>
        <v/>
      </c>
      <c r="E347" s="28">
        <f>B347*D347</f>
        <v/>
      </c>
      <c r="F347" s="28">
        <f>B347-E347</f>
        <v/>
      </c>
      <c r="G347" s="28">
        <f>IF(F347&gt;0.005,PMT(WAC/12,Term-A347+1,-F347),0)</f>
        <v/>
      </c>
      <c r="H347" s="28">
        <f>F347*WAC/12</f>
        <v/>
      </c>
      <c r="I347" s="28">
        <f>F347*(WAC-ServFee)/12</f>
        <v/>
      </c>
      <c r="J347" s="28">
        <f>G347-H347</f>
        <v/>
      </c>
      <c r="K347" s="28">
        <f>(F347-J347)*C347</f>
        <v/>
      </c>
      <c r="L347" s="28">
        <f>E347*Severity</f>
        <v/>
      </c>
      <c r="M347" s="28">
        <f>E347-L347</f>
        <v/>
      </c>
      <c r="N347" s="28">
        <f>J347+K347+M347</f>
        <v/>
      </c>
      <c r="O347" s="28">
        <f>F347-J347-K347</f>
        <v/>
      </c>
      <c r="P347" s="28">
        <f>I347+N347</f>
        <v/>
      </c>
      <c r="Q347" s="36">
        <f>(1+CF_Yield/12)^-A347</f>
        <v/>
      </c>
      <c r="R347" s="28">
        <f>P347*Q347</f>
        <v/>
      </c>
    </row>
    <row r="348">
      <c r="A348" s="26">
        <f>A347+1</f>
        <v/>
      </c>
      <c r="B348" s="28">
        <f>O347</f>
        <v/>
      </c>
      <c r="C348" s="33">
        <f>1-(1-CF_CPR)^(1/12)</f>
        <v/>
      </c>
      <c r="D348" s="33">
        <f>1-(1-CF_CDR)^(1/12)</f>
        <v/>
      </c>
      <c r="E348" s="28">
        <f>B348*D348</f>
        <v/>
      </c>
      <c r="F348" s="28">
        <f>B348-E348</f>
        <v/>
      </c>
      <c r="G348" s="28">
        <f>IF(F348&gt;0.005,PMT(WAC/12,Term-A348+1,-F348),0)</f>
        <v/>
      </c>
      <c r="H348" s="28">
        <f>F348*WAC/12</f>
        <v/>
      </c>
      <c r="I348" s="28">
        <f>F348*(WAC-ServFee)/12</f>
        <v/>
      </c>
      <c r="J348" s="28">
        <f>G348-H348</f>
        <v/>
      </c>
      <c r="K348" s="28">
        <f>(F348-J348)*C348</f>
        <v/>
      </c>
      <c r="L348" s="28">
        <f>E348*Severity</f>
        <v/>
      </c>
      <c r="M348" s="28">
        <f>E348-L348</f>
        <v/>
      </c>
      <c r="N348" s="28">
        <f>J348+K348+M348</f>
        <v/>
      </c>
      <c r="O348" s="28">
        <f>F348-J348-K348</f>
        <v/>
      </c>
      <c r="P348" s="28">
        <f>I348+N348</f>
        <v/>
      </c>
      <c r="Q348" s="36">
        <f>(1+CF_Yield/12)^-A348</f>
        <v/>
      </c>
      <c r="R348" s="28">
        <f>P348*Q348</f>
        <v/>
      </c>
    </row>
    <row r="349">
      <c r="A349" s="26">
        <f>A348+1</f>
        <v/>
      </c>
      <c r="B349" s="28">
        <f>O348</f>
        <v/>
      </c>
      <c r="C349" s="33">
        <f>1-(1-CF_CPR)^(1/12)</f>
        <v/>
      </c>
      <c r="D349" s="33">
        <f>1-(1-CF_CDR)^(1/12)</f>
        <v/>
      </c>
      <c r="E349" s="28">
        <f>B349*D349</f>
        <v/>
      </c>
      <c r="F349" s="28">
        <f>B349-E349</f>
        <v/>
      </c>
      <c r="G349" s="28">
        <f>IF(F349&gt;0.005,PMT(WAC/12,Term-A349+1,-F349),0)</f>
        <v/>
      </c>
      <c r="H349" s="28">
        <f>F349*WAC/12</f>
        <v/>
      </c>
      <c r="I349" s="28">
        <f>F349*(WAC-ServFee)/12</f>
        <v/>
      </c>
      <c r="J349" s="28">
        <f>G349-H349</f>
        <v/>
      </c>
      <c r="K349" s="28">
        <f>(F349-J349)*C349</f>
        <v/>
      </c>
      <c r="L349" s="28">
        <f>E349*Severity</f>
        <v/>
      </c>
      <c r="M349" s="28">
        <f>E349-L349</f>
        <v/>
      </c>
      <c r="N349" s="28">
        <f>J349+K349+M349</f>
        <v/>
      </c>
      <c r="O349" s="28">
        <f>F349-J349-K349</f>
        <v/>
      </c>
      <c r="P349" s="28">
        <f>I349+N349</f>
        <v/>
      </c>
      <c r="Q349" s="36">
        <f>(1+CF_Yield/12)^-A349</f>
        <v/>
      </c>
      <c r="R349" s="28">
        <f>P349*Q349</f>
        <v/>
      </c>
    </row>
    <row r="350">
      <c r="A350" s="26">
        <f>A349+1</f>
        <v/>
      </c>
      <c r="B350" s="28">
        <f>O349</f>
        <v/>
      </c>
      <c r="C350" s="33">
        <f>1-(1-CF_CPR)^(1/12)</f>
        <v/>
      </c>
      <c r="D350" s="33">
        <f>1-(1-CF_CDR)^(1/12)</f>
        <v/>
      </c>
      <c r="E350" s="28">
        <f>B350*D350</f>
        <v/>
      </c>
      <c r="F350" s="28">
        <f>B350-E350</f>
        <v/>
      </c>
      <c r="G350" s="28">
        <f>IF(F350&gt;0.005,PMT(WAC/12,Term-A350+1,-F350),0)</f>
        <v/>
      </c>
      <c r="H350" s="28">
        <f>F350*WAC/12</f>
        <v/>
      </c>
      <c r="I350" s="28">
        <f>F350*(WAC-ServFee)/12</f>
        <v/>
      </c>
      <c r="J350" s="28">
        <f>G350-H350</f>
        <v/>
      </c>
      <c r="K350" s="28">
        <f>(F350-J350)*C350</f>
        <v/>
      </c>
      <c r="L350" s="28">
        <f>E350*Severity</f>
        <v/>
      </c>
      <c r="M350" s="28">
        <f>E350-L350</f>
        <v/>
      </c>
      <c r="N350" s="28">
        <f>J350+K350+M350</f>
        <v/>
      </c>
      <c r="O350" s="28">
        <f>F350-J350-K350</f>
        <v/>
      </c>
      <c r="P350" s="28">
        <f>I350+N350</f>
        <v/>
      </c>
      <c r="Q350" s="36">
        <f>(1+CF_Yield/12)^-A350</f>
        <v/>
      </c>
      <c r="R350" s="28">
        <f>P350*Q350</f>
        <v/>
      </c>
    </row>
    <row r="351">
      <c r="A351" s="26">
        <f>A350+1</f>
        <v/>
      </c>
      <c r="B351" s="28">
        <f>O350</f>
        <v/>
      </c>
      <c r="C351" s="33">
        <f>1-(1-CF_CPR)^(1/12)</f>
        <v/>
      </c>
      <c r="D351" s="33">
        <f>1-(1-CF_CDR)^(1/12)</f>
        <v/>
      </c>
      <c r="E351" s="28">
        <f>B351*D351</f>
        <v/>
      </c>
      <c r="F351" s="28">
        <f>B351-E351</f>
        <v/>
      </c>
      <c r="G351" s="28">
        <f>IF(F351&gt;0.005,PMT(WAC/12,Term-A351+1,-F351),0)</f>
        <v/>
      </c>
      <c r="H351" s="28">
        <f>F351*WAC/12</f>
        <v/>
      </c>
      <c r="I351" s="28">
        <f>F351*(WAC-ServFee)/12</f>
        <v/>
      </c>
      <c r="J351" s="28">
        <f>G351-H351</f>
        <v/>
      </c>
      <c r="K351" s="28">
        <f>(F351-J351)*C351</f>
        <v/>
      </c>
      <c r="L351" s="28">
        <f>E351*Severity</f>
        <v/>
      </c>
      <c r="M351" s="28">
        <f>E351-L351</f>
        <v/>
      </c>
      <c r="N351" s="28">
        <f>J351+K351+M351</f>
        <v/>
      </c>
      <c r="O351" s="28">
        <f>F351-J351-K351</f>
        <v/>
      </c>
      <c r="P351" s="28">
        <f>I351+N351</f>
        <v/>
      </c>
      <c r="Q351" s="36">
        <f>(1+CF_Yield/12)^-A351</f>
        <v/>
      </c>
      <c r="R351" s="28">
        <f>P351*Q351</f>
        <v/>
      </c>
    </row>
    <row r="352">
      <c r="A352" s="26">
        <f>A351+1</f>
        <v/>
      </c>
      <c r="B352" s="28">
        <f>O351</f>
        <v/>
      </c>
      <c r="C352" s="33">
        <f>1-(1-CF_CPR)^(1/12)</f>
        <v/>
      </c>
      <c r="D352" s="33">
        <f>1-(1-CF_CDR)^(1/12)</f>
        <v/>
      </c>
      <c r="E352" s="28">
        <f>B352*D352</f>
        <v/>
      </c>
      <c r="F352" s="28">
        <f>B352-E352</f>
        <v/>
      </c>
      <c r="G352" s="28">
        <f>IF(F352&gt;0.005,PMT(WAC/12,Term-A352+1,-F352),0)</f>
        <v/>
      </c>
      <c r="H352" s="28">
        <f>F352*WAC/12</f>
        <v/>
      </c>
      <c r="I352" s="28">
        <f>F352*(WAC-ServFee)/12</f>
        <v/>
      </c>
      <c r="J352" s="28">
        <f>G352-H352</f>
        <v/>
      </c>
      <c r="K352" s="28">
        <f>(F352-J352)*C352</f>
        <v/>
      </c>
      <c r="L352" s="28">
        <f>E352*Severity</f>
        <v/>
      </c>
      <c r="M352" s="28">
        <f>E352-L352</f>
        <v/>
      </c>
      <c r="N352" s="28">
        <f>J352+K352+M352</f>
        <v/>
      </c>
      <c r="O352" s="28">
        <f>F352-J352-K352</f>
        <v/>
      </c>
      <c r="P352" s="28">
        <f>I352+N352</f>
        <v/>
      </c>
      <c r="Q352" s="36">
        <f>(1+CF_Yield/12)^-A352</f>
        <v/>
      </c>
      <c r="R352" s="28">
        <f>P352*Q352</f>
        <v/>
      </c>
    </row>
    <row r="353">
      <c r="A353" s="26">
        <f>A352+1</f>
        <v/>
      </c>
      <c r="B353" s="28">
        <f>O352</f>
        <v/>
      </c>
      <c r="C353" s="33">
        <f>1-(1-CF_CPR)^(1/12)</f>
        <v/>
      </c>
      <c r="D353" s="33">
        <f>1-(1-CF_CDR)^(1/12)</f>
        <v/>
      </c>
      <c r="E353" s="28">
        <f>B353*D353</f>
        <v/>
      </c>
      <c r="F353" s="28">
        <f>B353-E353</f>
        <v/>
      </c>
      <c r="G353" s="28">
        <f>IF(F353&gt;0.005,PMT(WAC/12,Term-A353+1,-F353),0)</f>
        <v/>
      </c>
      <c r="H353" s="28">
        <f>F353*WAC/12</f>
        <v/>
      </c>
      <c r="I353" s="28">
        <f>F353*(WAC-ServFee)/12</f>
        <v/>
      </c>
      <c r="J353" s="28">
        <f>G353-H353</f>
        <v/>
      </c>
      <c r="K353" s="28">
        <f>(F353-J353)*C353</f>
        <v/>
      </c>
      <c r="L353" s="28">
        <f>E353*Severity</f>
        <v/>
      </c>
      <c r="M353" s="28">
        <f>E353-L353</f>
        <v/>
      </c>
      <c r="N353" s="28">
        <f>J353+K353+M353</f>
        <v/>
      </c>
      <c r="O353" s="28">
        <f>F353-J353-K353</f>
        <v/>
      </c>
      <c r="P353" s="28">
        <f>I353+N353</f>
        <v/>
      </c>
      <c r="Q353" s="36">
        <f>(1+CF_Yield/12)^-A353</f>
        <v/>
      </c>
      <c r="R353" s="28">
        <f>P353*Q353</f>
        <v/>
      </c>
    </row>
    <row r="354">
      <c r="A354" s="26">
        <f>A353+1</f>
        <v/>
      </c>
      <c r="B354" s="28">
        <f>O353</f>
        <v/>
      </c>
      <c r="C354" s="33">
        <f>1-(1-CF_CPR)^(1/12)</f>
        <v/>
      </c>
      <c r="D354" s="33">
        <f>1-(1-CF_CDR)^(1/12)</f>
        <v/>
      </c>
      <c r="E354" s="28">
        <f>B354*D354</f>
        <v/>
      </c>
      <c r="F354" s="28">
        <f>B354-E354</f>
        <v/>
      </c>
      <c r="G354" s="28">
        <f>IF(F354&gt;0.005,PMT(WAC/12,Term-A354+1,-F354),0)</f>
        <v/>
      </c>
      <c r="H354" s="28">
        <f>F354*WAC/12</f>
        <v/>
      </c>
      <c r="I354" s="28">
        <f>F354*(WAC-ServFee)/12</f>
        <v/>
      </c>
      <c r="J354" s="28">
        <f>G354-H354</f>
        <v/>
      </c>
      <c r="K354" s="28">
        <f>(F354-J354)*C354</f>
        <v/>
      </c>
      <c r="L354" s="28">
        <f>E354*Severity</f>
        <v/>
      </c>
      <c r="M354" s="28">
        <f>E354-L354</f>
        <v/>
      </c>
      <c r="N354" s="28">
        <f>J354+K354+M354</f>
        <v/>
      </c>
      <c r="O354" s="28">
        <f>F354-J354-K354</f>
        <v/>
      </c>
      <c r="P354" s="28">
        <f>I354+N354</f>
        <v/>
      </c>
      <c r="Q354" s="36">
        <f>(1+CF_Yield/12)^-A354</f>
        <v/>
      </c>
      <c r="R354" s="28">
        <f>P354*Q354</f>
        <v/>
      </c>
    </row>
    <row r="355">
      <c r="A355" s="26">
        <f>A354+1</f>
        <v/>
      </c>
      <c r="B355" s="28">
        <f>O354</f>
        <v/>
      </c>
      <c r="C355" s="33">
        <f>1-(1-CF_CPR)^(1/12)</f>
        <v/>
      </c>
      <c r="D355" s="33">
        <f>1-(1-CF_CDR)^(1/12)</f>
        <v/>
      </c>
      <c r="E355" s="28">
        <f>B355*D355</f>
        <v/>
      </c>
      <c r="F355" s="28">
        <f>B355-E355</f>
        <v/>
      </c>
      <c r="G355" s="28">
        <f>IF(F355&gt;0.005,PMT(WAC/12,Term-A355+1,-F355),0)</f>
        <v/>
      </c>
      <c r="H355" s="28">
        <f>F355*WAC/12</f>
        <v/>
      </c>
      <c r="I355" s="28">
        <f>F355*(WAC-ServFee)/12</f>
        <v/>
      </c>
      <c r="J355" s="28">
        <f>G355-H355</f>
        <v/>
      </c>
      <c r="K355" s="28">
        <f>(F355-J355)*C355</f>
        <v/>
      </c>
      <c r="L355" s="28">
        <f>E355*Severity</f>
        <v/>
      </c>
      <c r="M355" s="28">
        <f>E355-L355</f>
        <v/>
      </c>
      <c r="N355" s="28">
        <f>J355+K355+M355</f>
        <v/>
      </c>
      <c r="O355" s="28">
        <f>F355-J355-K355</f>
        <v/>
      </c>
      <c r="P355" s="28">
        <f>I355+N355</f>
        <v/>
      </c>
      <c r="Q355" s="36">
        <f>(1+CF_Yield/12)^-A355</f>
        <v/>
      </c>
      <c r="R355" s="28">
        <f>P355*Q355</f>
        <v/>
      </c>
    </row>
    <row r="356">
      <c r="A356" s="26">
        <f>A355+1</f>
        <v/>
      </c>
      <c r="B356" s="28">
        <f>O355</f>
        <v/>
      </c>
      <c r="C356" s="33">
        <f>1-(1-CF_CPR)^(1/12)</f>
        <v/>
      </c>
      <c r="D356" s="33">
        <f>1-(1-CF_CDR)^(1/12)</f>
        <v/>
      </c>
      <c r="E356" s="28">
        <f>B356*D356</f>
        <v/>
      </c>
      <c r="F356" s="28">
        <f>B356-E356</f>
        <v/>
      </c>
      <c r="G356" s="28">
        <f>IF(F356&gt;0.005,PMT(WAC/12,Term-A356+1,-F356),0)</f>
        <v/>
      </c>
      <c r="H356" s="28">
        <f>F356*WAC/12</f>
        <v/>
      </c>
      <c r="I356" s="28">
        <f>F356*(WAC-ServFee)/12</f>
        <v/>
      </c>
      <c r="J356" s="28">
        <f>G356-H356</f>
        <v/>
      </c>
      <c r="K356" s="28">
        <f>(F356-J356)*C356</f>
        <v/>
      </c>
      <c r="L356" s="28">
        <f>E356*Severity</f>
        <v/>
      </c>
      <c r="M356" s="28">
        <f>E356-L356</f>
        <v/>
      </c>
      <c r="N356" s="28">
        <f>J356+K356+M356</f>
        <v/>
      </c>
      <c r="O356" s="28">
        <f>F356-J356-K356</f>
        <v/>
      </c>
      <c r="P356" s="28">
        <f>I356+N356</f>
        <v/>
      </c>
      <c r="Q356" s="36">
        <f>(1+CF_Yield/12)^-A356</f>
        <v/>
      </c>
      <c r="R356" s="28">
        <f>P356*Q356</f>
        <v/>
      </c>
    </row>
    <row r="357">
      <c r="A357" s="26">
        <f>A356+1</f>
        <v/>
      </c>
      <c r="B357" s="28">
        <f>O356</f>
        <v/>
      </c>
      <c r="C357" s="33">
        <f>1-(1-CF_CPR)^(1/12)</f>
        <v/>
      </c>
      <c r="D357" s="33">
        <f>1-(1-CF_CDR)^(1/12)</f>
        <v/>
      </c>
      <c r="E357" s="28">
        <f>B357*D357</f>
        <v/>
      </c>
      <c r="F357" s="28">
        <f>B357-E357</f>
        <v/>
      </c>
      <c r="G357" s="28">
        <f>IF(F357&gt;0.005,PMT(WAC/12,Term-A357+1,-F357),0)</f>
        <v/>
      </c>
      <c r="H357" s="28">
        <f>F357*WAC/12</f>
        <v/>
      </c>
      <c r="I357" s="28">
        <f>F357*(WAC-ServFee)/12</f>
        <v/>
      </c>
      <c r="J357" s="28">
        <f>G357-H357</f>
        <v/>
      </c>
      <c r="K357" s="28">
        <f>(F357-J357)*C357</f>
        <v/>
      </c>
      <c r="L357" s="28">
        <f>E357*Severity</f>
        <v/>
      </c>
      <c r="M357" s="28">
        <f>E357-L357</f>
        <v/>
      </c>
      <c r="N357" s="28">
        <f>J357+K357+M357</f>
        <v/>
      </c>
      <c r="O357" s="28">
        <f>F357-J357-K357</f>
        <v/>
      </c>
      <c r="P357" s="28">
        <f>I357+N357</f>
        <v/>
      </c>
      <c r="Q357" s="36">
        <f>(1+CF_Yield/12)^-A357</f>
        <v/>
      </c>
      <c r="R357" s="28">
        <f>P357*Q357</f>
        <v/>
      </c>
    </row>
    <row r="358">
      <c r="A358" s="26">
        <f>A357+1</f>
        <v/>
      </c>
      <c r="B358" s="28">
        <f>O357</f>
        <v/>
      </c>
      <c r="C358" s="33">
        <f>1-(1-CF_CPR)^(1/12)</f>
        <v/>
      </c>
      <c r="D358" s="33">
        <f>1-(1-CF_CDR)^(1/12)</f>
        <v/>
      </c>
      <c r="E358" s="28">
        <f>B358*D358</f>
        <v/>
      </c>
      <c r="F358" s="28">
        <f>B358-E358</f>
        <v/>
      </c>
      <c r="G358" s="28">
        <f>IF(F358&gt;0.005,PMT(WAC/12,Term-A358+1,-F358),0)</f>
        <v/>
      </c>
      <c r="H358" s="28">
        <f>F358*WAC/12</f>
        <v/>
      </c>
      <c r="I358" s="28">
        <f>F358*(WAC-ServFee)/12</f>
        <v/>
      </c>
      <c r="J358" s="28">
        <f>G358-H358</f>
        <v/>
      </c>
      <c r="K358" s="28">
        <f>(F358-J358)*C358</f>
        <v/>
      </c>
      <c r="L358" s="28">
        <f>E358*Severity</f>
        <v/>
      </c>
      <c r="M358" s="28">
        <f>E358-L358</f>
        <v/>
      </c>
      <c r="N358" s="28">
        <f>J358+K358+M358</f>
        <v/>
      </c>
      <c r="O358" s="28">
        <f>F358-J358-K358</f>
        <v/>
      </c>
      <c r="P358" s="28">
        <f>I358+N358</f>
        <v/>
      </c>
      <c r="Q358" s="36">
        <f>(1+CF_Yield/12)^-A358</f>
        <v/>
      </c>
      <c r="R358" s="28">
        <f>P358*Q358</f>
        <v/>
      </c>
    </row>
    <row r="359">
      <c r="A359" s="26">
        <f>A358+1</f>
        <v/>
      </c>
      <c r="B359" s="28">
        <f>O358</f>
        <v/>
      </c>
      <c r="C359" s="33">
        <f>1-(1-CF_CPR)^(1/12)</f>
        <v/>
      </c>
      <c r="D359" s="33">
        <f>1-(1-CF_CDR)^(1/12)</f>
        <v/>
      </c>
      <c r="E359" s="28">
        <f>B359*D359</f>
        <v/>
      </c>
      <c r="F359" s="28">
        <f>B359-E359</f>
        <v/>
      </c>
      <c r="G359" s="28">
        <f>IF(F359&gt;0.005,PMT(WAC/12,Term-A359+1,-F359),0)</f>
        <v/>
      </c>
      <c r="H359" s="28">
        <f>F359*WAC/12</f>
        <v/>
      </c>
      <c r="I359" s="28">
        <f>F359*(WAC-ServFee)/12</f>
        <v/>
      </c>
      <c r="J359" s="28">
        <f>G359-H359</f>
        <v/>
      </c>
      <c r="K359" s="28">
        <f>(F359-J359)*C359</f>
        <v/>
      </c>
      <c r="L359" s="28">
        <f>E359*Severity</f>
        <v/>
      </c>
      <c r="M359" s="28">
        <f>E359-L359</f>
        <v/>
      </c>
      <c r="N359" s="28">
        <f>J359+K359+M359</f>
        <v/>
      </c>
      <c r="O359" s="28">
        <f>F359-J359-K359</f>
        <v/>
      </c>
      <c r="P359" s="28">
        <f>I359+N359</f>
        <v/>
      </c>
      <c r="Q359" s="36">
        <f>(1+CF_Yield/12)^-A359</f>
        <v/>
      </c>
      <c r="R359" s="28">
        <f>P359*Q359</f>
        <v/>
      </c>
    </row>
    <row r="360">
      <c r="A360" s="26">
        <f>A359+1</f>
        <v/>
      </c>
      <c r="B360" s="28">
        <f>O359</f>
        <v/>
      </c>
      <c r="C360" s="33">
        <f>1-(1-CF_CPR)^(1/12)</f>
        <v/>
      </c>
      <c r="D360" s="33">
        <f>1-(1-CF_CDR)^(1/12)</f>
        <v/>
      </c>
      <c r="E360" s="28">
        <f>B360*D360</f>
        <v/>
      </c>
      <c r="F360" s="28">
        <f>B360-E360</f>
        <v/>
      </c>
      <c r="G360" s="28">
        <f>IF(F360&gt;0.005,PMT(WAC/12,Term-A360+1,-F360),0)</f>
        <v/>
      </c>
      <c r="H360" s="28">
        <f>F360*WAC/12</f>
        <v/>
      </c>
      <c r="I360" s="28">
        <f>F360*(WAC-ServFee)/12</f>
        <v/>
      </c>
      <c r="J360" s="28">
        <f>G360-H360</f>
        <v/>
      </c>
      <c r="K360" s="28">
        <f>(F360-J360)*C360</f>
        <v/>
      </c>
      <c r="L360" s="28">
        <f>E360*Severity</f>
        <v/>
      </c>
      <c r="M360" s="28">
        <f>E360-L360</f>
        <v/>
      </c>
      <c r="N360" s="28">
        <f>J360+K360+M360</f>
        <v/>
      </c>
      <c r="O360" s="28">
        <f>F360-J360-K360</f>
        <v/>
      </c>
      <c r="P360" s="28">
        <f>I360+N360</f>
        <v/>
      </c>
      <c r="Q360" s="36">
        <f>(1+CF_Yield/12)^-A360</f>
        <v/>
      </c>
      <c r="R360" s="28">
        <f>P360*Q360</f>
        <v/>
      </c>
    </row>
    <row r="361">
      <c r="A361" s="26">
        <f>A360+1</f>
        <v/>
      </c>
      <c r="B361" s="28">
        <f>O360</f>
        <v/>
      </c>
      <c r="C361" s="33">
        <f>1-(1-CF_CPR)^(1/12)</f>
        <v/>
      </c>
      <c r="D361" s="33">
        <f>1-(1-CF_CDR)^(1/12)</f>
        <v/>
      </c>
      <c r="E361" s="28">
        <f>B361*D361</f>
        <v/>
      </c>
      <c r="F361" s="28">
        <f>B361-E361</f>
        <v/>
      </c>
      <c r="G361" s="28">
        <f>IF(F361&gt;0.005,PMT(WAC/12,Term-A361+1,-F361),0)</f>
        <v/>
      </c>
      <c r="H361" s="28">
        <f>F361*WAC/12</f>
        <v/>
      </c>
      <c r="I361" s="28">
        <f>F361*(WAC-ServFee)/12</f>
        <v/>
      </c>
      <c r="J361" s="28">
        <f>G361-H361</f>
        <v/>
      </c>
      <c r="K361" s="28">
        <f>(F361-J361)*C361</f>
        <v/>
      </c>
      <c r="L361" s="28">
        <f>E361*Severity</f>
        <v/>
      </c>
      <c r="M361" s="28">
        <f>E361-L361</f>
        <v/>
      </c>
      <c r="N361" s="28">
        <f>J361+K361+M361</f>
        <v/>
      </c>
      <c r="O361" s="28">
        <f>F361-J361-K361</f>
        <v/>
      </c>
      <c r="P361" s="28">
        <f>I361+N361</f>
        <v/>
      </c>
      <c r="Q361" s="36">
        <f>(1+CF_Yield/12)^-A361</f>
        <v/>
      </c>
      <c r="R361" s="28">
        <f>P361*Q361</f>
        <v/>
      </c>
    </row>
    <row r="362">
      <c r="A362" s="26">
        <f>A361+1</f>
        <v/>
      </c>
      <c r="B362" s="28">
        <f>O361</f>
        <v/>
      </c>
      <c r="C362" s="33">
        <f>1-(1-CF_CPR)^(1/12)</f>
        <v/>
      </c>
      <c r="D362" s="33">
        <f>1-(1-CF_CDR)^(1/12)</f>
        <v/>
      </c>
      <c r="E362" s="28">
        <f>B362*D362</f>
        <v/>
      </c>
      <c r="F362" s="28">
        <f>B362-E362</f>
        <v/>
      </c>
      <c r="G362" s="28">
        <f>IF(F362&gt;0.005,PMT(WAC/12,Term-A362+1,-F362),0)</f>
        <v/>
      </c>
      <c r="H362" s="28">
        <f>F362*WAC/12</f>
        <v/>
      </c>
      <c r="I362" s="28">
        <f>F362*(WAC-ServFee)/12</f>
        <v/>
      </c>
      <c r="J362" s="28">
        <f>G362-H362</f>
        <v/>
      </c>
      <c r="K362" s="28">
        <f>(F362-J362)*C362</f>
        <v/>
      </c>
      <c r="L362" s="28">
        <f>E362*Severity</f>
        <v/>
      </c>
      <c r="M362" s="28">
        <f>E362-L362</f>
        <v/>
      </c>
      <c r="N362" s="28">
        <f>J362+K362+M362</f>
        <v/>
      </c>
      <c r="O362" s="28">
        <f>F362-J362-K362</f>
        <v/>
      </c>
      <c r="P362" s="28">
        <f>I362+N362</f>
        <v/>
      </c>
      <c r="Q362" s="36">
        <f>(1+CF_Yield/12)^-A362</f>
        <v/>
      </c>
      <c r="R362" s="28">
        <f>P362*Q362</f>
        <v/>
      </c>
    </row>
    <row r="363">
      <c r="A363" s="26">
        <f>A362+1</f>
        <v/>
      </c>
      <c r="B363" s="28">
        <f>O362</f>
        <v/>
      </c>
      <c r="C363" s="33">
        <f>1-(1-CF_CPR)^(1/12)</f>
        <v/>
      </c>
      <c r="D363" s="33">
        <f>1-(1-CF_CDR)^(1/12)</f>
        <v/>
      </c>
      <c r="E363" s="28">
        <f>B363*D363</f>
        <v/>
      </c>
      <c r="F363" s="28">
        <f>B363-E363</f>
        <v/>
      </c>
      <c r="G363" s="28">
        <f>IF(F363&gt;0.005,PMT(WAC/12,Term-A363+1,-F363),0)</f>
        <v/>
      </c>
      <c r="H363" s="28">
        <f>F363*WAC/12</f>
        <v/>
      </c>
      <c r="I363" s="28">
        <f>F363*(WAC-ServFee)/12</f>
        <v/>
      </c>
      <c r="J363" s="28">
        <f>G363-H363</f>
        <v/>
      </c>
      <c r="K363" s="28">
        <f>(F363-J363)*C363</f>
        <v/>
      </c>
      <c r="L363" s="28">
        <f>E363*Severity</f>
        <v/>
      </c>
      <c r="M363" s="28">
        <f>E363-L363</f>
        <v/>
      </c>
      <c r="N363" s="28">
        <f>J363+K363+M363</f>
        <v/>
      </c>
      <c r="O363" s="28">
        <f>F363-J363-K363</f>
        <v/>
      </c>
      <c r="P363" s="28">
        <f>I363+N363</f>
        <v/>
      </c>
      <c r="Q363" s="36">
        <f>(1+CF_Yield/12)^-A363</f>
        <v/>
      </c>
      <c r="R363" s="28">
        <f>P363*Q363</f>
        <v/>
      </c>
    </row>
    <row r="364">
      <c r="A364" s="26">
        <f>A363+1</f>
        <v/>
      </c>
      <c r="B364" s="28">
        <f>O363</f>
        <v/>
      </c>
      <c r="C364" s="33">
        <f>1-(1-CF_CPR)^(1/12)</f>
        <v/>
      </c>
      <c r="D364" s="33">
        <f>1-(1-CF_CDR)^(1/12)</f>
        <v/>
      </c>
      <c r="E364" s="28">
        <f>B364*D364</f>
        <v/>
      </c>
      <c r="F364" s="28">
        <f>B364-E364</f>
        <v/>
      </c>
      <c r="G364" s="28">
        <f>IF(F364&gt;0.005,PMT(WAC/12,Term-A364+1,-F364),0)</f>
        <v/>
      </c>
      <c r="H364" s="28">
        <f>F364*WAC/12</f>
        <v/>
      </c>
      <c r="I364" s="28">
        <f>F364*(WAC-ServFee)/12</f>
        <v/>
      </c>
      <c r="J364" s="28">
        <f>G364-H364</f>
        <v/>
      </c>
      <c r="K364" s="28">
        <f>(F364-J364)*C364</f>
        <v/>
      </c>
      <c r="L364" s="28">
        <f>E364*Severity</f>
        <v/>
      </c>
      <c r="M364" s="28">
        <f>E364-L364</f>
        <v/>
      </c>
      <c r="N364" s="28">
        <f>J364+K364+M364</f>
        <v/>
      </c>
      <c r="O364" s="28">
        <f>F364-J364-K364</f>
        <v/>
      </c>
      <c r="P364" s="28">
        <f>I364+N364</f>
        <v/>
      </c>
      <c r="Q364" s="36">
        <f>(1+CF_Yield/12)^-A364</f>
        <v/>
      </c>
      <c r="R364" s="28">
        <f>P364*Q364</f>
        <v/>
      </c>
    </row>
    <row r="365">
      <c r="A365" s="26">
        <f>A364+1</f>
        <v/>
      </c>
      <c r="B365" s="28">
        <f>O364</f>
        <v/>
      </c>
      <c r="C365" s="33">
        <f>1-(1-CF_CPR)^(1/12)</f>
        <v/>
      </c>
      <c r="D365" s="33">
        <f>1-(1-CF_CDR)^(1/12)</f>
        <v/>
      </c>
      <c r="E365" s="28">
        <f>B365*D365</f>
        <v/>
      </c>
      <c r="F365" s="28">
        <f>B365-E365</f>
        <v/>
      </c>
      <c r="G365" s="28">
        <f>IF(F365&gt;0.005,PMT(WAC/12,Term-A365+1,-F365),0)</f>
        <v/>
      </c>
      <c r="H365" s="28">
        <f>F365*WAC/12</f>
        <v/>
      </c>
      <c r="I365" s="28">
        <f>F365*(WAC-ServFee)/12</f>
        <v/>
      </c>
      <c r="J365" s="28">
        <f>G365-H365</f>
        <v/>
      </c>
      <c r="K365" s="28">
        <f>(F365-J365)*C365</f>
        <v/>
      </c>
      <c r="L365" s="28">
        <f>E365*Severity</f>
        <v/>
      </c>
      <c r="M365" s="28">
        <f>E365-L365</f>
        <v/>
      </c>
      <c r="N365" s="28">
        <f>J365+K365+M365</f>
        <v/>
      </c>
      <c r="O365" s="28">
        <f>F365-J365-K365</f>
        <v/>
      </c>
      <c r="P365" s="28">
        <f>I365+N365</f>
        <v/>
      </c>
      <c r="Q365" s="36">
        <f>(1+CF_Yield/12)^-A365</f>
        <v/>
      </c>
      <c r="R365" s="28">
        <f>P365*Q365</f>
        <v/>
      </c>
    </row>
    <row r="366">
      <c r="A366" s="26">
        <f>A365+1</f>
        <v/>
      </c>
      <c r="B366" s="28">
        <f>O365</f>
        <v/>
      </c>
      <c r="C366" s="33">
        <f>1-(1-CF_CPR)^(1/12)</f>
        <v/>
      </c>
      <c r="D366" s="33">
        <f>1-(1-CF_CDR)^(1/12)</f>
        <v/>
      </c>
      <c r="E366" s="28">
        <f>B366*D366</f>
        <v/>
      </c>
      <c r="F366" s="28">
        <f>B366-E366</f>
        <v/>
      </c>
      <c r="G366" s="28">
        <f>IF(F366&gt;0.005,PMT(WAC/12,Term-A366+1,-F366),0)</f>
        <v/>
      </c>
      <c r="H366" s="28">
        <f>F366*WAC/12</f>
        <v/>
      </c>
      <c r="I366" s="28">
        <f>F366*(WAC-ServFee)/12</f>
        <v/>
      </c>
      <c r="J366" s="28">
        <f>G366-H366</f>
        <v/>
      </c>
      <c r="K366" s="28">
        <f>(F366-J366)*C366</f>
        <v/>
      </c>
      <c r="L366" s="28">
        <f>E366*Severity</f>
        <v/>
      </c>
      <c r="M366" s="28">
        <f>E366-L366</f>
        <v/>
      </c>
      <c r="N366" s="28">
        <f>J366+K366+M366</f>
        <v/>
      </c>
      <c r="O366" s="28">
        <f>F366-J366-K366</f>
        <v/>
      </c>
      <c r="P366" s="28">
        <f>I366+N366</f>
        <v/>
      </c>
      <c r="Q366" s="36">
        <f>(1+CF_Yield/12)^-A366</f>
        <v/>
      </c>
      <c r="R366" s="28">
        <f>P366*Q366</f>
        <v/>
      </c>
    </row>
    <row r="367">
      <c r="A367" s="26">
        <f>A366+1</f>
        <v/>
      </c>
      <c r="B367" s="28">
        <f>O366</f>
        <v/>
      </c>
      <c r="C367" s="33">
        <f>1-(1-CF_CPR)^(1/12)</f>
        <v/>
      </c>
      <c r="D367" s="33">
        <f>1-(1-CF_CDR)^(1/12)</f>
        <v/>
      </c>
      <c r="E367" s="28">
        <f>B367*D367</f>
        <v/>
      </c>
      <c r="F367" s="28">
        <f>B367-E367</f>
        <v/>
      </c>
      <c r="G367" s="28">
        <f>IF(F367&gt;0.005,PMT(WAC/12,Term-A367+1,-F367),0)</f>
        <v/>
      </c>
      <c r="H367" s="28">
        <f>F367*WAC/12</f>
        <v/>
      </c>
      <c r="I367" s="28">
        <f>F367*(WAC-ServFee)/12</f>
        <v/>
      </c>
      <c r="J367" s="28">
        <f>G367-H367</f>
        <v/>
      </c>
      <c r="K367" s="28">
        <f>(F367-J367)*C367</f>
        <v/>
      </c>
      <c r="L367" s="28">
        <f>E367*Severity</f>
        <v/>
      </c>
      <c r="M367" s="28">
        <f>E367-L367</f>
        <v/>
      </c>
      <c r="N367" s="28">
        <f>J367+K367+M367</f>
        <v/>
      </c>
      <c r="O367" s="28">
        <f>F367-J367-K367</f>
        <v/>
      </c>
      <c r="P367" s="28">
        <f>I367+N367</f>
        <v/>
      </c>
      <c r="Q367" s="36">
        <f>(1+CF_Yield/12)^-A367</f>
        <v/>
      </c>
      <c r="R367" s="28">
        <f>P367*Q367</f>
        <v/>
      </c>
    </row>
    <row r="368">
      <c r="A368" s="26">
        <f>A367+1</f>
        <v/>
      </c>
      <c r="B368" s="28">
        <f>O367</f>
        <v/>
      </c>
      <c r="C368" s="33">
        <f>1-(1-CF_CPR)^(1/12)</f>
        <v/>
      </c>
      <c r="D368" s="33">
        <f>1-(1-CF_CDR)^(1/12)</f>
        <v/>
      </c>
      <c r="E368" s="28">
        <f>B368*D368</f>
        <v/>
      </c>
      <c r="F368" s="28">
        <f>B368-E368</f>
        <v/>
      </c>
      <c r="G368" s="28">
        <f>IF(F368&gt;0.005,PMT(WAC/12,Term-A368+1,-F368),0)</f>
        <v/>
      </c>
      <c r="H368" s="28">
        <f>F368*WAC/12</f>
        <v/>
      </c>
      <c r="I368" s="28">
        <f>F368*(WAC-ServFee)/12</f>
        <v/>
      </c>
      <c r="J368" s="28">
        <f>G368-H368</f>
        <v/>
      </c>
      <c r="K368" s="28">
        <f>(F368-J368)*C368</f>
        <v/>
      </c>
      <c r="L368" s="28">
        <f>E368*Severity</f>
        <v/>
      </c>
      <c r="M368" s="28">
        <f>E368-L368</f>
        <v/>
      </c>
      <c r="N368" s="28">
        <f>J368+K368+M368</f>
        <v/>
      </c>
      <c r="O368" s="28">
        <f>F368-J368-K368</f>
        <v/>
      </c>
      <c r="P368" s="28">
        <f>I368+N368</f>
        <v/>
      </c>
      <c r="Q368" s="36">
        <f>(1+CF_Yield/12)^-A368</f>
        <v/>
      </c>
      <c r="R368" s="28">
        <f>P368*Q368</f>
        <v/>
      </c>
    </row>
    <row r="369">
      <c r="A369" s="26">
        <f>A368+1</f>
        <v/>
      </c>
      <c r="B369" s="28">
        <f>O368</f>
        <v/>
      </c>
      <c r="C369" s="33">
        <f>1-(1-CF_CPR)^(1/12)</f>
        <v/>
      </c>
      <c r="D369" s="33">
        <f>1-(1-CF_CDR)^(1/12)</f>
        <v/>
      </c>
      <c r="E369" s="28">
        <f>B369*D369</f>
        <v/>
      </c>
      <c r="F369" s="28">
        <f>B369-E369</f>
        <v/>
      </c>
      <c r="G369" s="28">
        <f>IF(F369&gt;0.005,PMT(WAC/12,Term-A369+1,-F369),0)</f>
        <v/>
      </c>
      <c r="H369" s="28">
        <f>F369*WAC/12</f>
        <v/>
      </c>
      <c r="I369" s="28">
        <f>F369*(WAC-ServFee)/12</f>
        <v/>
      </c>
      <c r="J369" s="28">
        <f>G369-H369</f>
        <v/>
      </c>
      <c r="K369" s="28">
        <f>(F369-J369)*C369</f>
        <v/>
      </c>
      <c r="L369" s="28">
        <f>E369*Severity</f>
        <v/>
      </c>
      <c r="M369" s="28">
        <f>E369-L369</f>
        <v/>
      </c>
      <c r="N369" s="28">
        <f>J369+K369+M369</f>
        <v/>
      </c>
      <c r="O369" s="28">
        <f>F369-J369-K369</f>
        <v/>
      </c>
      <c r="P369" s="28">
        <f>I369+N369</f>
        <v/>
      </c>
      <c r="Q369" s="36">
        <f>(1+CF_Yield/12)^-A369</f>
        <v/>
      </c>
      <c r="R369" s="28">
        <f>P369*Q369</f>
        <v/>
      </c>
    </row>
    <row r="370">
      <c r="A370" s="26">
        <f>A369+1</f>
        <v/>
      </c>
      <c r="B370" s="28">
        <f>O369</f>
        <v/>
      </c>
      <c r="C370" s="33">
        <f>1-(1-CF_CPR)^(1/12)</f>
        <v/>
      </c>
      <c r="D370" s="33">
        <f>1-(1-CF_CDR)^(1/12)</f>
        <v/>
      </c>
      <c r="E370" s="28">
        <f>B370*D370</f>
        <v/>
      </c>
      <c r="F370" s="28">
        <f>B370-E370</f>
        <v/>
      </c>
      <c r="G370" s="28">
        <f>IF(F370&gt;0.005,PMT(WAC/12,Term-A370+1,-F370),0)</f>
        <v/>
      </c>
      <c r="H370" s="28">
        <f>F370*WAC/12</f>
        <v/>
      </c>
      <c r="I370" s="28">
        <f>F370*(WAC-ServFee)/12</f>
        <v/>
      </c>
      <c r="J370" s="28">
        <f>G370-H370</f>
        <v/>
      </c>
      <c r="K370" s="28">
        <f>(F370-J370)*C370</f>
        <v/>
      </c>
      <c r="L370" s="28">
        <f>E370*Severity</f>
        <v/>
      </c>
      <c r="M370" s="28">
        <f>E370-L370</f>
        <v/>
      </c>
      <c r="N370" s="28">
        <f>J370+K370+M370</f>
        <v/>
      </c>
      <c r="O370" s="28">
        <f>F370-J370-K370</f>
        <v/>
      </c>
      <c r="P370" s="28">
        <f>I370+N370</f>
        <v/>
      </c>
      <c r="Q370" s="36">
        <f>(1+CF_Yield/12)^-A370</f>
        <v/>
      </c>
      <c r="R370" s="28">
        <f>P370*Q370</f>
        <v/>
      </c>
    </row>
    <row r="371">
      <c r="A371" s="26">
        <f>A370+1</f>
        <v/>
      </c>
      <c r="B371" s="28">
        <f>O370</f>
        <v/>
      </c>
      <c r="C371" s="33">
        <f>1-(1-CF_CPR)^(1/12)</f>
        <v/>
      </c>
      <c r="D371" s="33">
        <f>1-(1-CF_CDR)^(1/12)</f>
        <v/>
      </c>
      <c r="E371" s="28">
        <f>B371*D371</f>
        <v/>
      </c>
      <c r="F371" s="28">
        <f>B371-E371</f>
        <v/>
      </c>
      <c r="G371" s="28">
        <f>IF(F371&gt;0.005,PMT(WAC/12,Term-A371+1,-F371),0)</f>
        <v/>
      </c>
      <c r="H371" s="28">
        <f>F371*WAC/12</f>
        <v/>
      </c>
      <c r="I371" s="28">
        <f>F371*(WAC-ServFee)/12</f>
        <v/>
      </c>
      <c r="J371" s="28">
        <f>G371-H371</f>
        <v/>
      </c>
      <c r="K371" s="28">
        <f>(F371-J371)*C371</f>
        <v/>
      </c>
      <c r="L371" s="28">
        <f>E371*Severity</f>
        <v/>
      </c>
      <c r="M371" s="28">
        <f>E371-L371</f>
        <v/>
      </c>
      <c r="N371" s="28">
        <f>J371+K371+M371</f>
        <v/>
      </c>
      <c r="O371" s="28">
        <f>F371-J371-K371</f>
        <v/>
      </c>
      <c r="P371" s="28">
        <f>I371+N371</f>
        <v/>
      </c>
      <c r="Q371" s="36">
        <f>(1+CF_Yield/12)^-A371</f>
        <v/>
      </c>
      <c r="R371" s="28">
        <f>P371*Q371</f>
        <v/>
      </c>
    </row>
    <row r="372">
      <c r="A372" s="26">
        <f>A371+1</f>
        <v/>
      </c>
      <c r="B372" s="28">
        <f>O371</f>
        <v/>
      </c>
      <c r="C372" s="33">
        <f>1-(1-CF_CPR)^(1/12)</f>
        <v/>
      </c>
      <c r="D372" s="33">
        <f>1-(1-CF_CDR)^(1/12)</f>
        <v/>
      </c>
      <c r="E372" s="28">
        <f>B372*D372</f>
        <v/>
      </c>
      <c r="F372" s="28">
        <f>B372-E372</f>
        <v/>
      </c>
      <c r="G372" s="28">
        <f>IF(F372&gt;0.005,PMT(WAC/12,Term-A372+1,-F372),0)</f>
        <v/>
      </c>
      <c r="H372" s="28">
        <f>F372*WAC/12</f>
        <v/>
      </c>
      <c r="I372" s="28">
        <f>F372*(WAC-ServFee)/12</f>
        <v/>
      </c>
      <c r="J372" s="28">
        <f>G372-H372</f>
        <v/>
      </c>
      <c r="K372" s="28">
        <f>(F372-J372)*C372</f>
        <v/>
      </c>
      <c r="L372" s="28">
        <f>E372*Severity</f>
        <v/>
      </c>
      <c r="M372" s="28">
        <f>E372-L372</f>
        <v/>
      </c>
      <c r="N372" s="28">
        <f>J372+K372+M372</f>
        <v/>
      </c>
      <c r="O372" s="28">
        <f>F372-J372-K372</f>
        <v/>
      </c>
      <c r="P372" s="28">
        <f>I372+N372</f>
        <v/>
      </c>
      <c r="Q372" s="36">
        <f>(1+CF_Yield/12)^-A372</f>
        <v/>
      </c>
      <c r="R372" s="28">
        <f>P372*Q372</f>
        <v/>
      </c>
    </row>
    <row r="373">
      <c r="A373" s="26">
        <f>A372+1</f>
        <v/>
      </c>
      <c r="B373" s="28">
        <f>O372</f>
        <v/>
      </c>
      <c r="C373" s="33">
        <f>1-(1-CF_CPR)^(1/12)</f>
        <v/>
      </c>
      <c r="D373" s="33">
        <f>1-(1-CF_CDR)^(1/12)</f>
        <v/>
      </c>
      <c r="E373" s="28">
        <f>B373*D373</f>
        <v/>
      </c>
      <c r="F373" s="28">
        <f>B373-E373</f>
        <v/>
      </c>
      <c r="G373" s="28">
        <f>IF(F373&gt;0.005,PMT(WAC/12,Term-A373+1,-F373),0)</f>
        <v/>
      </c>
      <c r="H373" s="28">
        <f>F373*WAC/12</f>
        <v/>
      </c>
      <c r="I373" s="28">
        <f>F373*(WAC-ServFee)/12</f>
        <v/>
      </c>
      <c r="J373" s="28">
        <f>G373-H373</f>
        <v/>
      </c>
      <c r="K373" s="28">
        <f>(F373-J373)*C373</f>
        <v/>
      </c>
      <c r="L373" s="28">
        <f>E373*Severity</f>
        <v/>
      </c>
      <c r="M373" s="28">
        <f>E373-L373</f>
        <v/>
      </c>
      <c r="N373" s="28">
        <f>J373+K373+M373</f>
        <v/>
      </c>
      <c r="O373" s="28">
        <f>F373-J373-K373</f>
        <v/>
      </c>
      <c r="P373" s="28">
        <f>I373+N373</f>
        <v/>
      </c>
      <c r="Q373" s="36">
        <f>(1+CF_Yield/12)^-A373</f>
        <v/>
      </c>
      <c r="R373" s="28">
        <f>P373*Q373</f>
        <v/>
      </c>
    </row>
    <row r="374">
      <c r="A374" s="26">
        <f>A373+1</f>
        <v/>
      </c>
      <c r="B374" s="28">
        <f>O373</f>
        <v/>
      </c>
      <c r="C374" s="33">
        <f>1-(1-CF_CPR)^(1/12)</f>
        <v/>
      </c>
      <c r="D374" s="33">
        <f>1-(1-CF_CDR)^(1/12)</f>
        <v/>
      </c>
      <c r="E374" s="28">
        <f>B374*D374</f>
        <v/>
      </c>
      <c r="F374" s="28">
        <f>B374-E374</f>
        <v/>
      </c>
      <c r="G374" s="28">
        <f>IF(F374&gt;0.005,PMT(WAC/12,Term-A374+1,-F374),0)</f>
        <v/>
      </c>
      <c r="H374" s="28">
        <f>F374*WAC/12</f>
        <v/>
      </c>
      <c r="I374" s="28">
        <f>F374*(WAC-ServFee)/12</f>
        <v/>
      </c>
      <c r="J374" s="28">
        <f>G374-H374</f>
        <v/>
      </c>
      <c r="K374" s="28">
        <f>(F374-J374)*C374</f>
        <v/>
      </c>
      <c r="L374" s="28">
        <f>E374*Severity</f>
        <v/>
      </c>
      <c r="M374" s="28">
        <f>E374-L374</f>
        <v/>
      </c>
      <c r="N374" s="28">
        <f>J374+K374+M374</f>
        <v/>
      </c>
      <c r="O374" s="28">
        <f>F374-J374-K374</f>
        <v/>
      </c>
      <c r="P374" s="28">
        <f>I374+N374</f>
        <v/>
      </c>
      <c r="Q374" s="36">
        <f>(1+CF_Yield/12)^-A374</f>
        <v/>
      </c>
      <c r="R374" s="28">
        <f>P374*Q374</f>
        <v/>
      </c>
    </row>
    <row r="375">
      <c r="A375" s="26">
        <f>A374+1</f>
        <v/>
      </c>
      <c r="B375" s="28">
        <f>O374</f>
        <v/>
      </c>
      <c r="C375" s="33">
        <f>1-(1-CF_CPR)^(1/12)</f>
        <v/>
      </c>
      <c r="D375" s="33">
        <f>1-(1-CF_CDR)^(1/12)</f>
        <v/>
      </c>
      <c r="E375" s="28">
        <f>B375*D375</f>
        <v/>
      </c>
      <c r="F375" s="28">
        <f>B375-E375</f>
        <v/>
      </c>
      <c r="G375" s="28">
        <f>IF(F375&gt;0.005,PMT(WAC/12,Term-A375+1,-F375),0)</f>
        <v/>
      </c>
      <c r="H375" s="28">
        <f>F375*WAC/12</f>
        <v/>
      </c>
      <c r="I375" s="28">
        <f>F375*(WAC-ServFee)/12</f>
        <v/>
      </c>
      <c r="J375" s="28">
        <f>G375-H375</f>
        <v/>
      </c>
      <c r="K375" s="28">
        <f>(F375-J375)*C375</f>
        <v/>
      </c>
      <c r="L375" s="28">
        <f>E375*Severity</f>
        <v/>
      </c>
      <c r="M375" s="28">
        <f>E375-L375</f>
        <v/>
      </c>
      <c r="N375" s="28">
        <f>J375+K375+M375</f>
        <v/>
      </c>
      <c r="O375" s="28">
        <f>F375-J375-K375</f>
        <v/>
      </c>
      <c r="P375" s="28">
        <f>I375+N375</f>
        <v/>
      </c>
      <c r="Q375" s="36">
        <f>(1+CF_Yield/12)^-A375</f>
        <v/>
      </c>
      <c r="R375" s="28">
        <f>P375*Q375</f>
        <v/>
      </c>
    </row>
    <row r="376">
      <c r="A376" s="26">
        <f>A375+1</f>
        <v/>
      </c>
      <c r="B376" s="28">
        <f>O375</f>
        <v/>
      </c>
      <c r="C376" s="33">
        <f>1-(1-CF_CPR)^(1/12)</f>
        <v/>
      </c>
      <c r="D376" s="33">
        <f>1-(1-CF_CDR)^(1/12)</f>
        <v/>
      </c>
      <c r="E376" s="28">
        <f>B376*D376</f>
        <v/>
      </c>
      <c r="F376" s="28">
        <f>B376-E376</f>
        <v/>
      </c>
      <c r="G376" s="28">
        <f>IF(F376&gt;0.005,PMT(WAC/12,Term-A376+1,-F376),0)</f>
        <v/>
      </c>
      <c r="H376" s="28">
        <f>F376*WAC/12</f>
        <v/>
      </c>
      <c r="I376" s="28">
        <f>F376*(WAC-ServFee)/12</f>
        <v/>
      </c>
      <c r="J376" s="28">
        <f>G376-H376</f>
        <v/>
      </c>
      <c r="K376" s="28">
        <f>(F376-J376)*C376</f>
        <v/>
      </c>
      <c r="L376" s="28">
        <f>E376*Severity</f>
        <v/>
      </c>
      <c r="M376" s="28">
        <f>E376-L376</f>
        <v/>
      </c>
      <c r="N376" s="28">
        <f>J376+K376+M376</f>
        <v/>
      </c>
      <c r="O376" s="28">
        <f>F376-J376-K376</f>
        <v/>
      </c>
      <c r="P376" s="28">
        <f>I376+N376</f>
        <v/>
      </c>
      <c r="Q376" s="36">
        <f>(1+CF_Yield/12)^-A376</f>
        <v/>
      </c>
      <c r="R376" s="28">
        <f>P376*Q376</f>
        <v/>
      </c>
    </row>
    <row r="377">
      <c r="A377" s="26">
        <f>A376+1</f>
        <v/>
      </c>
      <c r="B377" s="28">
        <f>O376</f>
        <v/>
      </c>
      <c r="C377" s="33">
        <f>1-(1-CF_CPR)^(1/12)</f>
        <v/>
      </c>
      <c r="D377" s="33">
        <f>1-(1-CF_CDR)^(1/12)</f>
        <v/>
      </c>
      <c r="E377" s="28">
        <f>B377*D377</f>
        <v/>
      </c>
      <c r="F377" s="28">
        <f>B377-E377</f>
        <v/>
      </c>
      <c r="G377" s="28">
        <f>IF(F377&gt;0.005,PMT(WAC/12,Term-A377+1,-F377),0)</f>
        <v/>
      </c>
      <c r="H377" s="28">
        <f>F377*WAC/12</f>
        <v/>
      </c>
      <c r="I377" s="28">
        <f>F377*(WAC-ServFee)/12</f>
        <v/>
      </c>
      <c r="J377" s="28">
        <f>G377-H377</f>
        <v/>
      </c>
      <c r="K377" s="28">
        <f>(F377-J377)*C377</f>
        <v/>
      </c>
      <c r="L377" s="28">
        <f>E377*Severity</f>
        <v/>
      </c>
      <c r="M377" s="28">
        <f>E377-L377</f>
        <v/>
      </c>
      <c r="N377" s="28">
        <f>J377+K377+M377</f>
        <v/>
      </c>
      <c r="O377" s="28">
        <f>F377-J377-K377</f>
        <v/>
      </c>
      <c r="P377" s="28">
        <f>I377+N377</f>
        <v/>
      </c>
      <c r="Q377" s="36">
        <f>(1+CF_Yield/12)^-A377</f>
        <v/>
      </c>
      <c r="R377" s="28">
        <f>P377*Q377</f>
        <v/>
      </c>
    </row>
    <row r="378">
      <c r="A378" s="26">
        <f>A377+1</f>
        <v/>
      </c>
      <c r="B378" s="28">
        <f>O377</f>
        <v/>
      </c>
      <c r="C378" s="33">
        <f>1-(1-CF_CPR)^(1/12)</f>
        <v/>
      </c>
      <c r="D378" s="33">
        <f>1-(1-CF_CDR)^(1/12)</f>
        <v/>
      </c>
      <c r="E378" s="28">
        <f>B378*D378</f>
        <v/>
      </c>
      <c r="F378" s="28">
        <f>B378-E378</f>
        <v/>
      </c>
      <c r="G378" s="28">
        <f>IF(F378&gt;0.005,PMT(WAC/12,Term-A378+1,-F378),0)</f>
        <v/>
      </c>
      <c r="H378" s="28">
        <f>F378*WAC/12</f>
        <v/>
      </c>
      <c r="I378" s="28">
        <f>F378*(WAC-ServFee)/12</f>
        <v/>
      </c>
      <c r="J378" s="28">
        <f>G378-H378</f>
        <v/>
      </c>
      <c r="K378" s="28">
        <f>(F378-J378)*C378</f>
        <v/>
      </c>
      <c r="L378" s="28">
        <f>E378*Severity</f>
        <v/>
      </c>
      <c r="M378" s="28">
        <f>E378-L378</f>
        <v/>
      </c>
      <c r="N378" s="28">
        <f>J378+K378+M378</f>
        <v/>
      </c>
      <c r="O378" s="28">
        <f>F378-J378-K378</f>
        <v/>
      </c>
      <c r="P378" s="28">
        <f>I378+N378</f>
        <v/>
      </c>
      <c r="Q378" s="36">
        <f>(1+CF_Yield/12)^-A378</f>
        <v/>
      </c>
      <c r="R378" s="28">
        <f>P378*Q378</f>
        <v/>
      </c>
    </row>
    <row r="379">
      <c r="A379" s="26">
        <f>A378+1</f>
        <v/>
      </c>
      <c r="B379" s="28">
        <f>O378</f>
        <v/>
      </c>
      <c r="C379" s="33">
        <f>1-(1-CF_CPR)^(1/12)</f>
        <v/>
      </c>
      <c r="D379" s="33">
        <f>1-(1-CF_CDR)^(1/12)</f>
        <v/>
      </c>
      <c r="E379" s="28">
        <f>B379*D379</f>
        <v/>
      </c>
      <c r="F379" s="28">
        <f>B379-E379</f>
        <v/>
      </c>
      <c r="G379" s="28">
        <f>IF(F379&gt;0.005,PMT(WAC/12,Term-A379+1,-F379),0)</f>
        <v/>
      </c>
      <c r="H379" s="28">
        <f>F379*WAC/12</f>
        <v/>
      </c>
      <c r="I379" s="28">
        <f>F379*(WAC-ServFee)/12</f>
        <v/>
      </c>
      <c r="J379" s="28">
        <f>G379-H379</f>
        <v/>
      </c>
      <c r="K379" s="28">
        <f>(F379-J379)*C379</f>
        <v/>
      </c>
      <c r="L379" s="28">
        <f>E379*Severity</f>
        <v/>
      </c>
      <c r="M379" s="28">
        <f>E379-L379</f>
        <v/>
      </c>
      <c r="N379" s="28">
        <f>J379+K379+M379</f>
        <v/>
      </c>
      <c r="O379" s="28">
        <f>F379-J379-K379</f>
        <v/>
      </c>
      <c r="P379" s="28">
        <f>I379+N379</f>
        <v/>
      </c>
      <c r="Q379" s="36">
        <f>(1+CF_Yield/12)^-A379</f>
        <v/>
      </c>
      <c r="R379" s="28">
        <f>P379*Q379</f>
        <v/>
      </c>
    </row>
    <row r="380">
      <c r="A380" s="26">
        <f>A379+1</f>
        <v/>
      </c>
      <c r="B380" s="28">
        <f>O379</f>
        <v/>
      </c>
      <c r="C380" s="33">
        <f>1-(1-CF_CPR)^(1/12)</f>
        <v/>
      </c>
      <c r="D380" s="33">
        <f>1-(1-CF_CDR)^(1/12)</f>
        <v/>
      </c>
      <c r="E380" s="28">
        <f>B380*D380</f>
        <v/>
      </c>
      <c r="F380" s="28">
        <f>B380-E380</f>
        <v/>
      </c>
      <c r="G380" s="28">
        <f>IF(F380&gt;0.005,PMT(WAC/12,Term-A380+1,-F380),0)</f>
        <v/>
      </c>
      <c r="H380" s="28">
        <f>F380*WAC/12</f>
        <v/>
      </c>
      <c r="I380" s="28">
        <f>F380*(WAC-ServFee)/12</f>
        <v/>
      </c>
      <c r="J380" s="28">
        <f>G380-H380</f>
        <v/>
      </c>
      <c r="K380" s="28">
        <f>(F380-J380)*C380</f>
        <v/>
      </c>
      <c r="L380" s="28">
        <f>E380*Severity</f>
        <v/>
      </c>
      <c r="M380" s="28">
        <f>E380-L380</f>
        <v/>
      </c>
      <c r="N380" s="28">
        <f>J380+K380+M380</f>
        <v/>
      </c>
      <c r="O380" s="28">
        <f>F380-J380-K380</f>
        <v/>
      </c>
      <c r="P380" s="28">
        <f>I380+N380</f>
        <v/>
      </c>
      <c r="Q380" s="36">
        <f>(1+CF_Yield/12)^-A380</f>
        <v/>
      </c>
      <c r="R380" s="28">
        <f>P380*Q380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0" customWidth="1" min="4" max="4"/>
  </cols>
  <sheetData>
    <row r="1">
      <c r="A1" s="1" t="inlineStr">
        <is>
          <t>Spreads, yield conversions, price conventions, roll carry</t>
        </is>
      </c>
    </row>
    <row r="2">
      <c r="A2" s="6" t="inlineStr">
        <is>
          <t>Gap = Mortgage rate - 10Y = (Mortgage - CC yield) + (CC yield - 10Y)</t>
        </is>
      </c>
    </row>
    <row r="3">
      <c r="A3" s="8" t="inlineStr">
        <is>
          <t>ILLUSTRATIVE INPUTS - Example numbers, not market data. Yellow cells with blue font are inputs; everything else is a formula.</t>
        </is>
      </c>
    </row>
    <row r="5">
      <c r="A5" s="7" t="inlineStr">
        <is>
          <t>MORTGAGE RATE vs 10Y DECOMPOSITION</t>
        </is>
      </c>
      <c r="B5" s="9" t="n"/>
      <c r="C5" s="9" t="n"/>
      <c r="D5" s="9" t="n"/>
    </row>
    <row r="6">
      <c r="A6" t="inlineStr">
        <is>
          <t>Primary mortgage rate (decimal)</t>
        </is>
      </c>
      <c r="B6" s="14" t="n">
        <v>0.064</v>
      </c>
      <c r="C6" s="6" t="inlineStr">
        <is>
          <t>MtgRate</t>
        </is>
      </c>
      <c r="D6" s="6" t="inlineStr"/>
    </row>
    <row r="7">
      <c r="A7" t="inlineStr">
        <is>
          <t>10Y Treasury yield (decimal)</t>
        </is>
      </c>
      <c r="B7" s="14" t="n">
        <v>0.042</v>
      </c>
      <c r="C7" s="6" t="inlineStr">
        <is>
          <t>UST_10Y</t>
        </is>
      </c>
      <c r="D7" s="6" t="inlineStr"/>
    </row>
    <row r="8">
      <c r="A8" t="inlineStr">
        <is>
          <t>Current-coupon MBS yield (decimal)</t>
        </is>
      </c>
      <c r="B8" s="14" t="n">
        <v>0.053</v>
      </c>
      <c r="C8" s="6" t="inlineStr">
        <is>
          <t>CC_Yld</t>
        </is>
      </c>
      <c r="D8" s="6" t="inlineStr"/>
    </row>
    <row r="9">
      <c r="A9" t="inlineStr">
        <is>
          <t>Mortgage-to-10Y gap (bp)</t>
        </is>
      </c>
      <c r="B9" s="17">
        <f>(MtgRate-UST_10Y)*10000</f>
        <v/>
      </c>
      <c r="C9" s="6" t="inlineStr"/>
      <c r="D9" s="6" t="inlineStr">
        <is>
          <t>bp</t>
        </is>
      </c>
    </row>
    <row r="10">
      <c r="A10" t="inlineStr">
        <is>
          <t>Primary-secondary spread (bp)</t>
        </is>
      </c>
      <c r="B10" s="17">
        <f>(MtgRate-CC_Yld)*10000</f>
        <v/>
      </c>
      <c r="C10" s="6" t="inlineStr"/>
      <c r="D10" s="6" t="inlineStr">
        <is>
          <t>bp</t>
        </is>
      </c>
    </row>
    <row r="11">
      <c r="A11" t="inlineStr">
        <is>
          <t>Secondary spread (bp)</t>
        </is>
      </c>
      <c r="B11" s="17">
        <f>(CC_Yld-UST_10Y)*10000</f>
        <v/>
      </c>
      <c r="C11" s="6" t="inlineStr"/>
      <c r="D11" s="6" t="inlineStr">
        <is>
          <t>bp</t>
        </is>
      </c>
    </row>
    <row r="13">
      <c r="A13" s="7" t="inlineStr">
        <is>
          <t>BEY &lt;-&gt; MORTGAGE YIELD</t>
        </is>
      </c>
      <c r="B13" s="9" t="n"/>
      <c r="C13" s="9" t="n"/>
      <c r="D13" s="9" t="n"/>
    </row>
    <row r="14">
      <c r="A14" t="inlineStr">
        <is>
          <t>Mortgage (monthly-compounded) yield</t>
        </is>
      </c>
      <c r="B14" s="20" t="n">
        <v>0.06</v>
      </c>
      <c r="C14" s="6" t="inlineStr">
        <is>
          <t>MtgYld</t>
        </is>
      </c>
      <c r="D14" s="6" t="inlineStr"/>
    </row>
    <row r="15">
      <c r="A15" t="inlineStr">
        <is>
          <t>BEY  =2*((1+MtgYld/12)^6-1)</t>
        </is>
      </c>
      <c r="B15" s="24">
        <f>2*((1+MtgYld/12)^6-1)</f>
        <v/>
      </c>
      <c r="C15" s="6" t="inlineStr">
        <is>
          <t>BEY</t>
        </is>
      </c>
      <c r="D15" s="6" t="inlineStr"/>
    </row>
    <row r="16">
      <c r="A16" t="inlineStr">
        <is>
          <t>BEY via built-ins  =NOMINAL(EFFECT(MtgYld,12),2)</t>
        </is>
      </c>
      <c r="B16" s="24">
        <f>NOMINAL(EFFECT(MtgYld,12),2)</f>
        <v/>
      </c>
      <c r="C16" s="6" t="inlineStr"/>
      <c r="D16" s="6" t="inlineStr"/>
    </row>
    <row r="17">
      <c r="A17" t="inlineStr">
        <is>
          <t>Back to mortgage yield  =12*((1+BEY/2)^(1/6)-1)</t>
        </is>
      </c>
      <c r="B17" s="24">
        <f>12*((1+BEY/2)^(1/6)-1)</f>
        <v/>
      </c>
      <c r="C17" s="6" t="inlineStr"/>
      <c r="D17" s="6" t="inlineStr"/>
    </row>
    <row r="19">
      <c r="A19" s="7" t="inlineStr">
        <is>
          <t>NOMINAL / G / I SPREAD WITH INTERPOLATION</t>
        </is>
      </c>
      <c r="B19" s="9" t="n"/>
      <c r="C19" s="9" t="n"/>
      <c r="D19" s="9" t="n"/>
    </row>
    <row r="20">
      <c r="A20" t="inlineStr">
        <is>
          <t>Bond yield (decimal)</t>
        </is>
      </c>
      <c r="B20" s="20" t="n">
        <v>0.0575</v>
      </c>
      <c r="C20" s="6" t="inlineStr">
        <is>
          <t>BondYld</t>
        </is>
      </c>
      <c r="D20" s="6" t="inlineStr"/>
    </row>
    <row r="21">
      <c r="A21" t="inlineStr">
        <is>
          <t>Bond WAL (years)</t>
        </is>
      </c>
      <c r="B21" s="12" t="n">
        <v>6.5</v>
      </c>
      <c r="C21" s="6" t="inlineStr">
        <is>
          <t>WAL</t>
        </is>
      </c>
      <c r="D21" s="6" t="inlineStr">
        <is>
          <t>years</t>
        </is>
      </c>
    </row>
    <row r="22">
      <c r="A22" t="inlineStr">
        <is>
          <t>Lower tenor (years)</t>
        </is>
      </c>
      <c r="B22" s="12" t="n">
        <v>5</v>
      </c>
      <c r="C22" s="6" t="inlineStr">
        <is>
          <t>T_lo</t>
        </is>
      </c>
      <c r="D22" s="6" t="inlineStr">
        <is>
          <t>years</t>
        </is>
      </c>
    </row>
    <row r="23">
      <c r="A23" t="inlineStr">
        <is>
          <t>Upper tenor (years)</t>
        </is>
      </c>
      <c r="B23" s="12" t="n">
        <v>10</v>
      </c>
      <c r="C23" s="6" t="inlineStr">
        <is>
          <t>T_hi</t>
        </is>
      </c>
      <c r="D23" s="6" t="inlineStr">
        <is>
          <t>years</t>
        </is>
      </c>
    </row>
    <row r="24">
      <c r="A24" t="inlineStr">
        <is>
          <t>Treasury yield at lower tenor</t>
        </is>
      </c>
      <c r="B24" s="20" t="n">
        <v>0.04</v>
      </c>
      <c r="C24" s="6" t="inlineStr">
        <is>
          <t>Yld_lo</t>
        </is>
      </c>
      <c r="D24" s="6" t="inlineStr"/>
    </row>
    <row r="25">
      <c r="A25" t="inlineStr">
        <is>
          <t>Treasury yield at upper tenor</t>
        </is>
      </c>
      <c r="B25" s="20" t="n">
        <v>0.042</v>
      </c>
      <c r="C25" s="6" t="inlineStr">
        <is>
          <t>Yld_hi</t>
        </is>
      </c>
      <c r="D25" s="6" t="inlineStr"/>
    </row>
    <row r="26">
      <c r="A26" t="inlineStr">
        <is>
          <t>Swap spread at WAL (bp, swap minus Treasury)</t>
        </is>
      </c>
      <c r="B26" s="31" t="n">
        <v>-20</v>
      </c>
      <c r="C26" s="6" t="inlineStr">
        <is>
          <t>SwapSpread_bp</t>
        </is>
      </c>
      <c r="D26" s="6" t="inlineStr">
        <is>
          <t>bp</t>
        </is>
      </c>
    </row>
    <row r="27">
      <c r="A27" t="inlineStr">
        <is>
          <t>Interpolated Treasury at WAL</t>
        </is>
      </c>
      <c r="B27" s="24">
        <f>Yld_lo+(WAL-T_lo)*(Yld_hi-Yld_lo)/(T_hi-T_lo)</f>
        <v/>
      </c>
      <c r="C27" s="6" t="inlineStr">
        <is>
          <t>UST_at_WAL</t>
        </is>
      </c>
      <c r="D27" s="6" t="inlineStr"/>
    </row>
    <row r="28">
      <c r="A28" t="inlineStr">
        <is>
          <t>Nominal / G-spread (bp)</t>
        </is>
      </c>
      <c r="B28" s="37">
        <f>(BondYld-UST_at_WAL)*10000</f>
        <v/>
      </c>
      <c r="C28" s="6" t="inlineStr">
        <is>
          <t>GSpread_bp</t>
        </is>
      </c>
      <c r="D28" s="6" t="inlineStr">
        <is>
          <t>bp</t>
        </is>
      </c>
    </row>
    <row r="29">
      <c r="A29" t="inlineStr">
        <is>
          <t>I-spread (bp) = G-spread - swap spread</t>
        </is>
      </c>
      <c r="B29" s="37">
        <f>GSpread_bp-SwapSpread_bp</f>
        <v/>
      </c>
      <c r="C29" s="6" t="inlineStr"/>
      <c r="D29" s="6" t="inlineStr">
        <is>
          <t>bp</t>
        </is>
      </c>
    </row>
    <row r="31">
      <c r="A31" s="7" t="inlineStr">
        <is>
          <t>OPTION COST</t>
        </is>
      </c>
      <c r="B31" s="9" t="n"/>
      <c r="C31" s="9" t="n"/>
      <c r="D31" s="9" t="n"/>
    </row>
    <row r="32">
      <c r="A32" t="inlineStr">
        <is>
          <t>Z-spread (bp, from vendor)</t>
        </is>
      </c>
      <c r="B32" s="31" t="n">
        <v>160</v>
      </c>
      <c r="C32" s="6" t="inlineStr">
        <is>
          <t>ZSpread_bp</t>
        </is>
      </c>
      <c r="D32" s="6" t="inlineStr">
        <is>
          <t>bp</t>
        </is>
      </c>
    </row>
    <row r="33">
      <c r="A33" t="inlineStr">
        <is>
          <t>OAS (bp, from vendor)</t>
        </is>
      </c>
      <c r="B33" s="31" t="n">
        <v>95</v>
      </c>
      <c r="C33" s="6" t="inlineStr">
        <is>
          <t>OAS_bp</t>
        </is>
      </c>
      <c r="D33" s="6" t="inlineStr">
        <is>
          <t>bp</t>
        </is>
      </c>
    </row>
    <row r="34">
      <c r="A34" t="inlineStr">
        <is>
          <t>Option cost (bp)  =ZSpread_bp-OAS_bp</t>
        </is>
      </c>
      <c r="B34" s="17">
        <f>ZSpread_bp-OAS_bp</f>
        <v/>
      </c>
      <c r="C34" s="6" t="inlineStr"/>
      <c r="D34" s="6" t="inlineStr">
        <is>
          <t>bp</t>
        </is>
      </c>
    </row>
    <row r="36">
      <c r="A36" s="7" t="inlineStr">
        <is>
          <t>PRICE CONVENTIONS (32nds)</t>
        </is>
      </c>
      <c r="B36" s="9" t="n"/>
      <c r="C36" s="9" t="n"/>
      <c r="D36" s="9" t="n"/>
    </row>
    <row r="37">
      <c r="A37" t="inlineStr">
        <is>
          <t>Quoted price in handle.32nds form (98.16 = 98-16)</t>
        </is>
      </c>
      <c r="B37" s="12" t="n">
        <v>98.16</v>
      </c>
      <c r="C37" s="6" t="inlineStr">
        <is>
          <t>Quote32</t>
        </is>
      </c>
      <c r="D37" s="6" t="inlineStr"/>
    </row>
    <row r="38">
      <c r="A38" t="inlineStr">
        <is>
          <t>Decimal price  =DOLLARDE(Quote32,32)</t>
        </is>
      </c>
      <c r="B38" s="23">
        <f>DOLLARDE(Quote32,32)</f>
        <v/>
      </c>
      <c r="C38" s="6" t="inlineStr">
        <is>
          <t>DecPx</t>
        </is>
      </c>
      <c r="D38" s="6" t="inlineStr">
        <is>
          <t>pts</t>
        </is>
      </c>
    </row>
    <row r="39">
      <c r="A39" t="inlineStr">
        <is>
          <t>Decimal price with + (adds 1/64)</t>
        </is>
      </c>
      <c r="B39" s="23">
        <f>DOLLARDE(Quote32,32)+1/64</f>
        <v/>
      </c>
      <c r="C39" s="6" t="inlineStr"/>
      <c r="D39" s="6" t="inlineStr">
        <is>
          <t>pts</t>
        </is>
      </c>
    </row>
    <row r="40">
      <c r="A40" t="inlineStr">
        <is>
          <t>Back to 32nds form  =DOLLARFR(DecPx,32)</t>
        </is>
      </c>
      <c r="B40" s="16">
        <f>DOLLARFR(DecPx,32)</f>
        <v/>
      </c>
      <c r="C40" s="6" t="inlineStr"/>
      <c r="D40" s="6" t="inlineStr"/>
    </row>
    <row r="41">
      <c r="A41" t="inlineStr">
        <is>
          <t>Face for tick value ($)</t>
        </is>
      </c>
      <c r="B41" s="10" t="n">
        <v>1000000</v>
      </c>
      <c r="C41" s="6" t="inlineStr">
        <is>
          <t>TickFace</t>
        </is>
      </c>
      <c r="D41" s="6" t="inlineStr">
        <is>
          <t>$</t>
        </is>
      </c>
    </row>
    <row r="42">
      <c r="A42" t="inlineStr">
        <is>
          <t>Value of 1/32 ($)  =TickFace/32/100</t>
        </is>
      </c>
      <c r="B42" s="18">
        <f>TickFace/32/100</f>
        <v/>
      </c>
      <c r="C42" s="6" t="inlineStr"/>
      <c r="D42" s="6" t="inlineStr">
        <is>
          <t>$</t>
        </is>
      </c>
    </row>
    <row r="44">
      <c r="A44" s="7" t="inlineStr">
        <is>
          <t>DOLLAR ROLL: ONE-MONTH CARRY AND BREAK-EVEN DROP (simplified)</t>
        </is>
      </c>
      <c r="B44" s="9" t="n"/>
      <c r="C44" s="9" t="n"/>
      <c r="D44" s="9" t="n"/>
    </row>
    <row r="45">
      <c r="A45" t="inlineStr">
        <is>
          <t>Coupon (decimal)</t>
        </is>
      </c>
      <c r="B45" s="14" t="n">
        <v>0.06</v>
      </c>
      <c r="C45" s="6" t="inlineStr">
        <is>
          <t>Roll_Cpn</t>
        </is>
      </c>
      <c r="D45" s="6" t="inlineStr"/>
    </row>
    <row r="46">
      <c r="A46" t="inlineStr">
        <is>
          <t>Repo rate (decimal)</t>
        </is>
      </c>
      <c r="B46" s="14" t="n">
        <v>0.05</v>
      </c>
      <c r="C46" s="6" t="inlineStr">
        <is>
          <t>Roll_Repo</t>
        </is>
      </c>
      <c r="D46" s="6" t="inlineStr"/>
    </row>
    <row r="47">
      <c r="A47" t="inlineStr">
        <is>
          <t>Days in roll period</t>
        </is>
      </c>
      <c r="B47" s="31" t="n">
        <v>30</v>
      </c>
      <c r="C47" s="6" t="inlineStr">
        <is>
          <t>Roll_Days</t>
        </is>
      </c>
      <c r="D47" s="6" t="inlineStr">
        <is>
          <t>days</t>
        </is>
      </c>
    </row>
    <row r="48">
      <c r="A48" t="inlineStr">
        <is>
          <t>Price (points)</t>
        </is>
      </c>
      <c r="B48" s="11" t="n">
        <v>100</v>
      </c>
      <c r="C48" s="6" t="inlineStr">
        <is>
          <t>Roll_Px</t>
        </is>
      </c>
      <c r="D48" s="6" t="inlineStr">
        <is>
          <t>pts</t>
        </is>
      </c>
    </row>
    <row r="49">
      <c r="A49" t="inlineStr">
        <is>
          <t>Fraction of balance paid down in month</t>
        </is>
      </c>
      <c r="B49" s="14" t="n">
        <v>0.01</v>
      </c>
      <c r="C49" s="6" t="inlineStr">
        <is>
          <t>Roll_PctPaid</t>
        </is>
      </c>
      <c r="D49" s="6" t="inlineStr"/>
    </row>
    <row r="50">
      <c r="A50" t="inlineStr">
        <is>
          <t>Quoted drop (32nds)</t>
        </is>
      </c>
      <c r="B50" s="12" t="n">
        <v>4</v>
      </c>
      <c r="C50" s="6" t="inlineStr">
        <is>
          <t>Roll_Drop32</t>
        </is>
      </c>
      <c r="D50" s="6" t="inlineStr">
        <is>
          <t>32nds</t>
        </is>
      </c>
    </row>
    <row r="51">
      <c r="A51" t="inlineStr">
        <is>
          <t>Carry (points)</t>
        </is>
      </c>
      <c r="B51" s="22">
        <f>Roll_Cpn/12*100-Roll_Repo*Roll_Days/360*Roll_Px+(100-Roll_Px)*Roll_PctPaid</f>
        <v/>
      </c>
      <c r="C51" s="6" t="inlineStr">
        <is>
          <t>Roll_Carry</t>
        </is>
      </c>
      <c r="D51" s="6" t="inlineStr">
        <is>
          <t>pts</t>
        </is>
      </c>
    </row>
    <row r="52">
      <c r="A52" t="inlineStr">
        <is>
          <t>Break-even drop (32nds)</t>
        </is>
      </c>
      <c r="B52" s="16">
        <f>Roll_Carry*32</f>
        <v/>
      </c>
      <c r="C52" s="6" t="inlineStr"/>
      <c r="D52" s="6" t="inlineStr">
        <is>
          <t>32nds</t>
        </is>
      </c>
    </row>
    <row r="53">
      <c r="A53" t="inlineStr">
        <is>
          <t>Roll special? (drop &gt; break-even)</t>
        </is>
      </c>
      <c r="B53" s="34">
        <f>IF(Roll_Drop32&gt;Roll_Carry*32,"SPECIAL - favors rolling","Not special - favors holding")</f>
        <v/>
      </c>
      <c r="C53" s="6" t="inlineStr"/>
      <c r="D53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10" customWidth="1" min="4" max="4"/>
  </cols>
  <sheetData>
    <row r="1">
      <c r="A1" s="1" t="inlineStr">
        <is>
          <t>DSCR, LTV/CLTV, DTI, RTL leverage, HPA shock</t>
        </is>
      </c>
    </row>
    <row r="2">
      <c r="A2" s="6" t="inlineStr">
        <is>
          <t>DSCR = Gross rent / PITIA; LTV = Loan / MIN(Appraisal, Purchase price)</t>
        </is>
      </c>
    </row>
    <row r="3">
      <c r="A3" s="8" t="inlineStr">
        <is>
          <t>ILLUSTRATIVE INPUTS - Example numbers, not market data. Yellow cells with blue font are inputs; everything else is a formula.</t>
        </is>
      </c>
    </row>
    <row r="5">
      <c r="A5" s="7" t="inlineStr">
        <is>
          <t>DSCR LOAN</t>
        </is>
      </c>
      <c r="B5" s="9" t="n"/>
      <c r="C5" s="9" t="n"/>
      <c r="D5" s="9" t="n"/>
    </row>
    <row r="6">
      <c r="A6" t="inlineStr">
        <is>
          <t>Loan amount ($)</t>
        </is>
      </c>
      <c r="B6" s="10" t="n">
        <v>300000</v>
      </c>
      <c r="C6" s="6" t="inlineStr">
        <is>
          <t>Loan</t>
        </is>
      </c>
      <c r="D6" s="6" t="inlineStr">
        <is>
          <t>$</t>
        </is>
      </c>
    </row>
    <row r="7">
      <c r="A7" t="inlineStr">
        <is>
          <t>Note rate (decimal)</t>
        </is>
      </c>
      <c r="B7" s="20" t="n">
        <v>0.0725</v>
      </c>
      <c r="C7" s="6" t="inlineStr">
        <is>
          <t>NoteRate</t>
        </is>
      </c>
      <c r="D7" s="6" t="inlineStr"/>
    </row>
    <row r="8">
      <c r="A8" t="inlineStr">
        <is>
          <t>Amortization term (months)</t>
        </is>
      </c>
      <c r="B8" s="31" t="n">
        <v>360</v>
      </c>
      <c r="C8" s="6" t="inlineStr">
        <is>
          <t>AmortTerm</t>
        </is>
      </c>
      <c r="D8" s="6" t="inlineStr">
        <is>
          <t>months</t>
        </is>
      </c>
    </row>
    <row r="9">
      <c r="A9" t="inlineStr">
        <is>
          <t>Interest-only? (1 = yes, 0 = no)</t>
        </is>
      </c>
      <c r="B9" s="31" t="n">
        <v>0</v>
      </c>
      <c r="C9" s="6" t="inlineStr">
        <is>
          <t>IO_Flag</t>
        </is>
      </c>
      <c r="D9" s="6" t="inlineStr"/>
    </row>
    <row r="10">
      <c r="A10" t="inlineStr">
        <is>
          <t>Gross monthly rent ($)</t>
        </is>
      </c>
      <c r="B10" s="10" t="n">
        <v>3000</v>
      </c>
      <c r="C10" s="6" t="inlineStr">
        <is>
          <t>GrossRent</t>
        </is>
      </c>
      <c r="D10" s="6" t="inlineStr">
        <is>
          <t>$</t>
        </is>
      </c>
    </row>
    <row r="11">
      <c r="A11" t="inlineStr">
        <is>
          <t>Monthly property taxes ($)</t>
        </is>
      </c>
      <c r="B11" s="10" t="n">
        <v>300</v>
      </c>
      <c r="C11" s="6" t="inlineStr">
        <is>
          <t>Taxes</t>
        </is>
      </c>
      <c r="D11" s="6" t="inlineStr">
        <is>
          <t>$</t>
        </is>
      </c>
    </row>
    <row r="12">
      <c r="A12" t="inlineStr">
        <is>
          <t>Monthly insurance ($)</t>
        </is>
      </c>
      <c r="B12" s="10" t="n">
        <v>120</v>
      </c>
      <c r="C12" s="6" t="inlineStr">
        <is>
          <t>Ins</t>
        </is>
      </c>
      <c r="D12" s="6" t="inlineStr">
        <is>
          <t>$</t>
        </is>
      </c>
    </row>
    <row r="13">
      <c r="A13" t="inlineStr">
        <is>
          <t>Monthly HOA / association dues ($)</t>
        </is>
      </c>
      <c r="B13" s="10" t="n">
        <v>0</v>
      </c>
      <c r="C13" s="6" t="inlineStr">
        <is>
          <t>HOA</t>
        </is>
      </c>
      <c r="D13" s="6" t="inlineStr">
        <is>
          <t>$</t>
        </is>
      </c>
    </row>
    <row r="14">
      <c r="A14" t="inlineStr">
        <is>
          <t>Monthly P&amp;I  =IF(IO_Flag=1,Loan*NoteRate/12,PMT(NoteRate/12,AmortTerm,-Loan))</t>
        </is>
      </c>
      <c r="B14" s="18">
        <f>IF(IO_Flag=1,Loan*NoteRate/12,PMT(NoteRate/12,AmortTerm,-Loan))</f>
        <v/>
      </c>
      <c r="C14" s="6" t="inlineStr">
        <is>
          <t>PI_Pmt</t>
        </is>
      </c>
      <c r="D14" s="6" t="inlineStr">
        <is>
          <t>$</t>
        </is>
      </c>
    </row>
    <row r="15">
      <c r="A15" t="inlineStr">
        <is>
          <t>PITIA</t>
        </is>
      </c>
      <c r="B15" s="18">
        <f>PI_Pmt+Taxes+Ins+HOA</f>
        <v/>
      </c>
      <c r="C15" s="6" t="inlineStr">
        <is>
          <t>PITIA</t>
        </is>
      </c>
      <c r="D15" s="6" t="inlineStr">
        <is>
          <t>$</t>
        </is>
      </c>
    </row>
    <row r="16">
      <c r="A16" t="inlineStr">
        <is>
          <t>DSCR  =GrossRent/PITIA</t>
        </is>
      </c>
      <c r="B16" s="16">
        <f>GrossRent/PITIA</f>
        <v/>
      </c>
      <c r="C16" s="6" t="inlineStr"/>
      <c r="D16" s="6" t="inlineStr">
        <is>
          <t>x</t>
        </is>
      </c>
    </row>
    <row r="17">
      <c r="A17" t="inlineStr">
        <is>
          <t>Interest in month 1  =IPMT(NoteRate/12,1,AmortTerm,-Loan)</t>
        </is>
      </c>
      <c r="B17" s="18">
        <f>IPMT(NoteRate/12,1,AmortTerm,-Loan)</f>
        <v/>
      </c>
      <c r="C17" s="6" t="inlineStr"/>
      <c r="D17" s="6" t="inlineStr">
        <is>
          <t>$</t>
        </is>
      </c>
    </row>
    <row r="18">
      <c r="A18" t="inlineStr">
        <is>
          <t>Principal in month 1  =PPMT(NoteRate/12,1,AmortTerm,-Loan)</t>
        </is>
      </c>
      <c r="B18" s="18">
        <f>PPMT(NoteRate/12,1,AmortTerm,-Loan)</f>
        <v/>
      </c>
      <c r="C18" s="6" t="inlineStr"/>
      <c r="D18" s="6" t="inlineStr">
        <is>
          <t>$</t>
        </is>
      </c>
    </row>
    <row r="19">
      <c r="A19" t="inlineStr">
        <is>
          <t>Rate check  =RATE(AmortTerm,-PMT(...),Loan)*12</t>
        </is>
      </c>
      <c r="B19" s="24">
        <f>RATE(AmortTerm,-PMT(NoteRate/12,AmortTerm,-Loan),Loan)*12</f>
        <v/>
      </c>
      <c r="C19" s="6" t="inlineStr"/>
      <c r="D19" s="6" t="inlineStr"/>
    </row>
    <row r="21">
      <c r="A21" s="7" t="inlineStr">
        <is>
          <t>LTV / CLTV / HPA SHOCK</t>
        </is>
      </c>
      <c r="B21" s="9" t="n"/>
      <c r="C21" s="9" t="n"/>
      <c r="D21" s="9" t="n"/>
    </row>
    <row r="22">
      <c r="A22" t="inlineStr">
        <is>
          <t>Appraised value ($)</t>
        </is>
      </c>
      <c r="B22" s="10" t="n">
        <v>400000</v>
      </c>
      <c r="C22" s="6" t="inlineStr">
        <is>
          <t>Appraisal</t>
        </is>
      </c>
      <c r="D22" s="6" t="inlineStr">
        <is>
          <t>$</t>
        </is>
      </c>
    </row>
    <row r="23">
      <c r="A23" t="inlineStr">
        <is>
          <t>Purchase price ($)</t>
        </is>
      </c>
      <c r="B23" s="10" t="n">
        <v>410000</v>
      </c>
      <c r="C23" s="6" t="inlineStr">
        <is>
          <t>PurchPx</t>
        </is>
      </c>
      <c r="D23" s="6" t="inlineStr">
        <is>
          <t>$</t>
        </is>
      </c>
    </row>
    <row r="24">
      <c r="A24" t="inlineStr">
        <is>
          <t>Second lien balance (or full HELOC line for HCLTV) ($)</t>
        </is>
      </c>
      <c r="B24" s="10" t="n">
        <v>0</v>
      </c>
      <c r="C24" s="6" t="inlineStr">
        <is>
          <t>SecondLien</t>
        </is>
      </c>
      <c r="D24" s="6" t="inlineStr">
        <is>
          <t>$</t>
        </is>
      </c>
    </row>
    <row r="25">
      <c r="A25" t="inlineStr">
        <is>
          <t>Current first-lien balance ($)</t>
        </is>
      </c>
      <c r="B25" s="10" t="n">
        <v>300000</v>
      </c>
      <c r="C25" s="6" t="inlineStr">
        <is>
          <t>CurBal</t>
        </is>
      </c>
      <c r="D25" s="6" t="inlineStr">
        <is>
          <t>$</t>
        </is>
      </c>
    </row>
    <row r="26">
      <c r="A26" t="inlineStr">
        <is>
          <t>HPA shock (decimal)</t>
        </is>
      </c>
      <c r="B26" s="14" t="n">
        <v>-0.1</v>
      </c>
      <c r="C26" s="6" t="inlineStr">
        <is>
          <t>HPA</t>
        </is>
      </c>
      <c r="D26" s="6" t="inlineStr"/>
    </row>
    <row r="27">
      <c r="A27" t="inlineStr">
        <is>
          <t>LTV  =Loan/MIN(Appraisal,PurchPx)</t>
        </is>
      </c>
      <c r="B27" s="30">
        <f>Loan/MIN(Appraisal,PurchPx)</f>
        <v/>
      </c>
      <c r="C27" s="6" t="inlineStr"/>
      <c r="D27" s="6" t="inlineStr"/>
    </row>
    <row r="28">
      <c r="A28" t="inlineStr">
        <is>
          <t>CLTV  =(Loan+SecondLien)/MIN(Appraisal,PurchPx)</t>
        </is>
      </c>
      <c r="B28" s="30">
        <f>(Loan+SecondLien)/MIN(Appraisal,PurchPx)</f>
        <v/>
      </c>
      <c r="C28" s="6" t="inlineStr"/>
      <c r="D28" s="6" t="inlineStr"/>
    </row>
    <row r="29">
      <c r="A29" t="inlineStr">
        <is>
          <t>Current LTV after HPA  =CurBal/(MIN(Appraisal,PurchPx)*(1+HPA))</t>
        </is>
      </c>
      <c r="B29" s="30">
        <f>CurBal/(MIN(Appraisal,PurchPx)*(1+HPA))</f>
        <v/>
      </c>
      <c r="C29" s="6" t="inlineStr"/>
      <c r="D29" s="6" t="inlineStr"/>
    </row>
    <row r="31">
      <c r="A31" s="7" t="inlineStr">
        <is>
          <t>DTI (full-doc / bank-statement loans)</t>
        </is>
      </c>
      <c r="B31" s="9" t="n"/>
      <c r="C31" s="9" t="n"/>
      <c r="D31" s="9" t="n"/>
    </row>
    <row r="32">
      <c r="A32" t="inlineStr">
        <is>
          <t>Total monthly debt payments ($)</t>
        </is>
      </c>
      <c r="B32" s="10" t="n">
        <v>4000</v>
      </c>
      <c r="C32" s="6" t="inlineStr">
        <is>
          <t>MonthlyDebt</t>
        </is>
      </c>
      <c r="D32" s="6" t="inlineStr">
        <is>
          <t>$</t>
        </is>
      </c>
    </row>
    <row r="33">
      <c r="A33" t="inlineStr">
        <is>
          <t>Gross monthly income ($)</t>
        </is>
      </c>
      <c r="B33" s="10" t="n">
        <v>12000</v>
      </c>
      <c r="C33" s="6" t="inlineStr">
        <is>
          <t>GrossMoIncome</t>
        </is>
      </c>
      <c r="D33" s="6" t="inlineStr">
        <is>
          <t>$</t>
        </is>
      </c>
    </row>
    <row r="34">
      <c r="A34" t="inlineStr">
        <is>
          <t>DTI  =MonthlyDebt/GrossMoIncome</t>
        </is>
      </c>
      <c r="B34" s="30">
        <f>MonthlyDebt/GrossMoIncome</f>
        <v/>
      </c>
      <c r="C34" s="6" t="inlineStr"/>
      <c r="D34" s="6" t="inlineStr"/>
    </row>
    <row r="36">
      <c r="A36" s="7" t="inlineStr">
        <is>
          <t>RTL (fix-and-flip) LEVERAGE</t>
        </is>
      </c>
      <c r="B36" s="9" t="n"/>
      <c r="C36" s="9" t="n"/>
      <c r="D36" s="9" t="n"/>
    </row>
    <row r="37">
      <c r="A37" t="inlineStr">
        <is>
          <t>RTL loan amount (incl. rehab holdback) ($)</t>
        </is>
      </c>
      <c r="B37" s="10" t="n">
        <v>270000</v>
      </c>
      <c r="C37" s="6" t="inlineStr">
        <is>
          <t>RTL_Loan</t>
        </is>
      </c>
      <c r="D37" s="6" t="inlineStr">
        <is>
          <t>$</t>
        </is>
      </c>
    </row>
    <row r="38">
      <c r="A38" t="inlineStr">
        <is>
          <t>Purchase price ($)</t>
        </is>
      </c>
      <c r="B38" s="10" t="n">
        <v>250000</v>
      </c>
      <c r="C38" s="6" t="inlineStr">
        <is>
          <t>RTL_Purch</t>
        </is>
      </c>
      <c r="D38" s="6" t="inlineStr">
        <is>
          <t>$</t>
        </is>
      </c>
    </row>
    <row r="39">
      <c r="A39" t="inlineStr">
        <is>
          <t>Rehab budget ($)</t>
        </is>
      </c>
      <c r="B39" s="10" t="n">
        <v>50000</v>
      </c>
      <c r="C39" s="6" t="inlineStr">
        <is>
          <t>RehabBudget</t>
        </is>
      </c>
      <c r="D39" s="6" t="inlineStr">
        <is>
          <t>$</t>
        </is>
      </c>
    </row>
    <row r="40">
      <c r="A40" t="inlineStr">
        <is>
          <t>After-repair value, ARV ($)</t>
        </is>
      </c>
      <c r="B40" s="10" t="n">
        <v>400000</v>
      </c>
      <c r="C40" s="6" t="inlineStr">
        <is>
          <t>ARV</t>
        </is>
      </c>
      <c r="D40" s="6" t="inlineStr">
        <is>
          <t>$</t>
        </is>
      </c>
    </row>
    <row r="41">
      <c r="A41" t="inlineStr">
        <is>
          <t>Loan to cost  =RTL_Loan/(RTL_Purch+RehabBudget)</t>
        </is>
      </c>
      <c r="B41" s="30">
        <f>RTL_Loan/(RTL_Purch+RehabBudget)</f>
        <v/>
      </c>
      <c r="C41" s="6" t="inlineStr"/>
      <c r="D41" s="6" t="inlineStr"/>
    </row>
    <row r="42">
      <c r="A42" t="inlineStr">
        <is>
          <t>Loan to ARV  =RTL_Loan/ARV</t>
        </is>
      </c>
      <c r="B42" s="30">
        <f>RTL_Loan/ARV</f>
        <v/>
      </c>
      <c r="C42" s="6" t="inlineStr"/>
      <c r="D42" s="6" t="inlineStr"/>
    </row>
    <row r="44">
      <c r="A44" s="7" t="inlineStr">
        <is>
          <t>CREDIT LOSS QUICK MATH</t>
        </is>
      </c>
      <c r="B44" s="9" t="n"/>
      <c r="C44" s="9" t="n"/>
      <c r="D44" s="9" t="n"/>
    </row>
    <row r="45">
      <c r="A45" t="inlineStr">
        <is>
          <t>CDR (annual, decimal)</t>
        </is>
      </c>
      <c r="B45" s="14" t="n">
        <v>0.02</v>
      </c>
      <c r="C45" s="6" t="inlineStr">
        <is>
          <t>Cr_CDR</t>
        </is>
      </c>
      <c r="D45" s="6" t="inlineStr"/>
    </row>
    <row r="46">
      <c r="A46" t="inlineStr">
        <is>
          <t>Severity (decimal)</t>
        </is>
      </c>
      <c r="B46" s="14" t="n">
        <v>0.3</v>
      </c>
      <c r="C46" s="6" t="inlineStr">
        <is>
          <t>Cr_Sev</t>
        </is>
      </c>
      <c r="D46" s="6" t="inlineStr"/>
    </row>
    <row r="47">
      <c r="A47" t="inlineStr">
        <is>
          <t>Approx. annual loss rate  =Cr_CDR*Cr_Sev</t>
        </is>
      </c>
      <c r="B47" s="30">
        <f>Cr_CDR*Cr_Sev</f>
        <v/>
      </c>
      <c r="C47" s="6" t="inlineStr"/>
      <c r="D4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2026-10-01T20:41:53Z</dcterms:created>
  <dcterms:modified xmlns:dcterms="http://purl.org/dc/terms/" xmlns:xsi="http://www.w3.org/2001/XMLSchema-instance" xsi:type="dcterms:W3CDTF">2026-10-01T20:41:53Z</dcterms:modified>
</cp:coreProperties>
</file>